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sobeys-my.sharepoint.com/personal/ajaipal_sangha_sobeys_com/Documents/Desktop/"/>
    </mc:Choice>
  </mc:AlternateContent>
  <xr:revisionPtr revIDLastSave="211" documentId="13_ncr:1_{A4B8BA7C-5E2C-48FF-8719-8B8611B81E37}" xr6:coauthVersionLast="47" xr6:coauthVersionMax="47" xr10:uidLastSave="{11A5C870-4B97-478D-BB3D-3318C7D5DACB}"/>
  <bookViews>
    <workbookView xWindow="-120" yWindow="-120" windowWidth="29040" windowHeight="15720" firstSheet="2" activeTab="4" xr2:uid="{DC4940CA-D93E-412C-B82D-826F10C49553}"/>
  </bookViews>
  <sheets>
    <sheet name="Ottawa Spoke" sheetId="1" r:id="rId1"/>
    <sheet name="Ottawa Trailer Load Form" sheetId="5" r:id="rId2"/>
    <sheet name="Etobecoke Door 25 53192" sheetId="6" r:id="rId3"/>
    <sheet name="53192 Load Form " sheetId="10" r:id="rId4"/>
    <sheet name="Etobicoke Door 26 53251" sheetId="7" r:id="rId5"/>
    <sheet name="53251 Load Form" sheetId="11" r:id="rId6"/>
    <sheet name="Etobicoke Door 27 53252" sheetId="9" r:id="rId7"/>
    <sheet name="53252 Load Form" sheetId="8" r:id="rId8"/>
  </sheets>
  <definedNames>
    <definedName name="_xlnm.Print_Area" localSheetId="2">'Etobecoke Door 25 53192'!$A$1:$O$49</definedName>
    <definedName name="_xlnm.Print_Area" localSheetId="4">'Etobicoke Door 26 53251'!$A$1:$O$49</definedName>
    <definedName name="_xlnm.Print_Area" localSheetId="6">'Etobicoke Door 27 53252'!$A$1:$O$49</definedName>
    <definedName name="_xlnm.Print_Area" localSheetId="0">'Ottawa Spoke'!$A$1:$O$49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1" l="1"/>
  <c r="A16" i="11" s="1"/>
  <c r="E1" i="11"/>
  <c r="E4" i="10"/>
  <c r="A16" i="10" s="1"/>
  <c r="E1" i="10"/>
  <c r="E1" i="8"/>
  <c r="J2" i="9"/>
  <c r="E48" i="9" s="1"/>
  <c r="J2" i="7"/>
  <c r="E48" i="7" s="1"/>
  <c r="E1" i="5"/>
  <c r="J2" i="1"/>
  <c r="J2" i="6"/>
  <c r="E4" i="8"/>
  <c r="A16" i="8" s="1"/>
  <c r="A27" i="9"/>
  <c r="C21" i="9"/>
  <c r="E21" i="9" s="1"/>
  <c r="E27" i="9" s="1"/>
  <c r="E4" i="5"/>
  <c r="E48" i="1" l="1"/>
  <c r="K3" i="1"/>
  <c r="E48" i="6"/>
  <c r="K3" i="6"/>
  <c r="K3" i="9"/>
  <c r="K3" i="7"/>
  <c r="C27" i="9"/>
  <c r="A15" i="5"/>
  <c r="C21" i="7" l="1"/>
  <c r="E21" i="7" s="1"/>
  <c r="E27" i="7" s="1"/>
  <c r="A27" i="7"/>
  <c r="C27" i="7" l="1"/>
  <c r="C21" i="6"/>
  <c r="C27" i="6" s="1"/>
  <c r="A27" i="6"/>
  <c r="E21" i="6" l="1"/>
  <c r="E27" i="6" s="1"/>
  <c r="C21" i="1"/>
  <c r="E21" i="1" s="1"/>
  <c r="C27" i="1" l="1"/>
  <c r="A27" i="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Kassam, Nadia</author>
    <author>Chiang, Andrew</author>
  </authors>
  <commentList>
    <comment ref="K3" authorId="0" shapeId="0" xr:uid="{BC2CFF17-751B-4A5D-A723-E13D9667CB21}">
      <text>
        <r>
          <rPr>
            <b/>
            <sz val="9"/>
            <color indexed="81"/>
            <rFont val="Tahoma"/>
            <family val="2"/>
          </rPr>
          <t>Kassam, Nadia:
Nomenclature for CFC to Spoke</t>
        </r>
        <r>
          <rPr>
            <sz val="9"/>
            <color indexed="81"/>
            <rFont val="Tahoma"/>
            <family val="2"/>
          </rPr>
          <t xml:space="preserve">
-V_YYYYMMDD_Trailer ID (from OSP)
</t>
        </r>
        <r>
          <rPr>
            <b/>
            <sz val="9"/>
            <color indexed="81"/>
            <rFont val="Tahoma"/>
            <family val="2"/>
          </rPr>
          <t>Nomenclature for Spoke to CFC</t>
        </r>
        <r>
          <rPr>
            <sz val="9"/>
            <color indexed="81"/>
            <rFont val="Tahoma"/>
            <family val="2"/>
          </rPr>
          <t xml:space="preserve">
-E_YYYYMMDD_Trailer No. 
</t>
        </r>
      </text>
    </comment>
    <comment ref="K7" authorId="0" shapeId="0" xr:uid="{6A6E64B9-4E16-43AA-8D36-1B66FF311C31}">
      <text>
        <r>
          <rPr>
            <b/>
            <sz val="9"/>
            <color indexed="81"/>
            <rFont val="Tahoma"/>
            <family val="2"/>
          </rPr>
          <t>Kassam, Nadia:</t>
        </r>
        <r>
          <rPr>
            <sz val="9"/>
            <color indexed="81"/>
            <rFont val="Tahoma"/>
            <family val="2"/>
          </rPr>
          <t xml:space="preserve">
Ops team or Spoke team to enter manually</t>
        </r>
      </text>
    </comment>
    <comment ref="K8" authorId="0" shapeId="0" xr:uid="{4207DF1B-476E-47C6-941A-587497081D5F}">
      <text>
        <r>
          <rPr>
            <b/>
            <sz val="9"/>
            <color indexed="81"/>
            <rFont val="Tahoma"/>
            <family val="2"/>
          </rPr>
          <t>Kassam, Nadia:</t>
        </r>
        <r>
          <rPr>
            <sz val="9"/>
            <color indexed="81"/>
            <rFont val="Tahoma"/>
            <family val="2"/>
          </rPr>
          <t xml:space="preserve">
Ops team or Spoke team to enter manually</t>
        </r>
      </text>
    </comment>
    <comment ref="I10" authorId="0" shapeId="0" xr:uid="{84E3340D-237F-40E2-9032-2C40F749CB1C}">
      <text>
        <r>
          <rPr>
            <b/>
            <sz val="9"/>
            <color indexed="81"/>
            <rFont val="Tahoma"/>
            <family val="2"/>
          </rPr>
          <t>Kassam, Nadia:</t>
        </r>
        <r>
          <rPr>
            <sz val="9"/>
            <color indexed="81"/>
            <rFont val="Tahoma"/>
            <family val="2"/>
          </rPr>
          <t xml:space="preserve">
Not required per Canada Cartage</t>
        </r>
      </text>
    </comment>
    <comment ref="A16" authorId="1" shapeId="0" xr:uid="{9751F050-D9AD-4975-85CE-53D2AC032077}">
      <text>
        <r>
          <rPr>
            <b/>
            <sz val="9"/>
            <color indexed="81"/>
            <rFont val="Tahoma"/>
            <family val="2"/>
          </rPr>
          <t xml:space="preserve">Chiang, Andrew:
</t>
        </r>
        <r>
          <rPr>
            <sz val="9"/>
            <color indexed="81"/>
            <rFont val="Tahoma"/>
            <family val="2"/>
          </rPr>
          <t>Are there 3rd parties that I can create a drop down for?</t>
        </r>
      </text>
    </comment>
    <comment ref="A21" authorId="0" shapeId="0" xr:uid="{0B56AE08-EA3C-4CAC-A777-E6EA26EC0296}">
      <text>
        <r>
          <rPr>
            <b/>
            <sz val="9"/>
            <color indexed="81"/>
            <rFont val="Tahoma"/>
            <family val="2"/>
          </rPr>
          <t>Kassam, Nadia:</t>
        </r>
        <r>
          <rPr>
            <sz val="9"/>
            <color indexed="81"/>
            <rFont val="Tahoma"/>
            <family val="2"/>
          </rPr>
          <t xml:space="preserve">
Ops or Delivery to confirm the amount of frames used.</t>
        </r>
      </text>
    </comment>
    <comment ref="I32" authorId="0" shapeId="0" xr:uid="{6868E172-1E98-4FFE-9191-C0B465EAF155}">
      <text>
        <r>
          <rPr>
            <b/>
            <sz val="9"/>
            <color indexed="81"/>
            <rFont val="Tahoma"/>
            <family val="2"/>
          </rPr>
          <t>Kassam, Nadia:</t>
        </r>
        <r>
          <rPr>
            <sz val="9"/>
            <color indexed="81"/>
            <rFont val="Tahoma"/>
            <family val="2"/>
          </rPr>
          <t xml:space="preserve">
Alasdair to confirm who takes accountability for loading (Inbound Team versus Trailer Loader?)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Kassam, Nadia</author>
    <author>Chiang, Andrew</author>
  </authors>
  <commentList>
    <comment ref="K3" authorId="0" shapeId="0" xr:uid="{BC2CFF17-751B-4A5D-A723-E13D9667CB21}">
      <text>
        <r>
          <rPr>
            <b/>
            <sz val="9"/>
            <color indexed="81"/>
            <rFont val="Tahoma"/>
            <family val="2"/>
          </rPr>
          <t>Kassam, Nadia:
Nomenclature for CFC to Spoke</t>
        </r>
        <r>
          <rPr>
            <sz val="9"/>
            <color indexed="81"/>
            <rFont val="Tahoma"/>
            <family val="2"/>
          </rPr>
          <t xml:space="preserve">
-V_YYYYMMDD_Trailer ID (from OSP)
</t>
        </r>
        <r>
          <rPr>
            <b/>
            <sz val="9"/>
            <color indexed="81"/>
            <rFont val="Tahoma"/>
            <family val="2"/>
          </rPr>
          <t>Nomenclature for Spoke to CFC</t>
        </r>
        <r>
          <rPr>
            <sz val="9"/>
            <color indexed="81"/>
            <rFont val="Tahoma"/>
            <family val="2"/>
          </rPr>
          <t xml:space="preserve">
-E_YYYYMMDD_Trailer No. 
</t>
        </r>
      </text>
    </comment>
    <comment ref="V6" authorId="0" shapeId="0" xr:uid="{5F6512BA-ADF1-4367-AED3-A53588A451EC}">
      <text>
        <r>
          <rPr>
            <b/>
            <sz val="9"/>
            <color indexed="81"/>
            <rFont val="Tahoma"/>
            <family val="2"/>
          </rPr>
          <t>Kassam, Nadia:</t>
        </r>
        <r>
          <rPr>
            <sz val="9"/>
            <color indexed="81"/>
            <rFont val="Tahoma"/>
            <family val="2"/>
          </rPr>
          <t xml:space="preserve">
Ops team or Spoke team to enter manually</t>
        </r>
      </text>
    </comment>
    <comment ref="K7" authorId="0" shapeId="0" xr:uid="{7B7537A6-E53B-4EDD-935D-8EAC821F0926}">
      <text>
        <r>
          <rPr>
            <b/>
            <sz val="9"/>
            <color indexed="81"/>
            <rFont val="Tahoma"/>
            <family val="2"/>
          </rPr>
          <t>Kassam, Nadia:</t>
        </r>
        <r>
          <rPr>
            <sz val="9"/>
            <color indexed="81"/>
            <rFont val="Tahoma"/>
            <family val="2"/>
          </rPr>
          <t xml:space="preserve">
Ops team or Spoke team to enter manually</t>
        </r>
      </text>
    </comment>
    <comment ref="Q7" authorId="0" shapeId="0" xr:uid="{CF5D6541-250D-4B54-8F1A-D806626C63F2}">
      <text>
        <r>
          <rPr>
            <b/>
            <sz val="9"/>
            <color indexed="81"/>
            <rFont val="Tahoma"/>
            <family val="2"/>
          </rPr>
          <t>Kassam, Nadia:</t>
        </r>
        <r>
          <rPr>
            <sz val="9"/>
            <color indexed="81"/>
            <rFont val="Tahoma"/>
            <family val="2"/>
          </rPr>
          <t xml:space="preserve">
Ops team or Spoke team to enter manually</t>
        </r>
      </text>
    </comment>
    <comment ref="K8" authorId="0" shapeId="0" xr:uid="{1A278858-588E-4D26-8E05-3C50548F95D9}">
      <text>
        <r>
          <rPr>
            <b/>
            <sz val="9"/>
            <color indexed="81"/>
            <rFont val="Tahoma"/>
            <family val="2"/>
          </rPr>
          <t>Kassam, Nadia:</t>
        </r>
        <r>
          <rPr>
            <sz val="9"/>
            <color indexed="81"/>
            <rFont val="Tahoma"/>
            <family val="2"/>
          </rPr>
          <t xml:space="preserve">
Ops team or Spoke team to enter manually</t>
        </r>
      </text>
    </comment>
    <comment ref="Q9" authorId="0" shapeId="0" xr:uid="{5FDCAAFF-C765-4BA8-A5F5-11E4A40EC107}">
      <text>
        <r>
          <rPr>
            <b/>
            <sz val="9"/>
            <color indexed="81"/>
            <rFont val="Tahoma"/>
            <family val="2"/>
          </rPr>
          <t>Kassam, Nadia:</t>
        </r>
        <r>
          <rPr>
            <sz val="9"/>
            <color indexed="81"/>
            <rFont val="Tahoma"/>
            <family val="2"/>
          </rPr>
          <t xml:space="preserve">
Ops team or Spoke team to enter manually</t>
        </r>
      </text>
    </comment>
    <comment ref="I10" authorId="0" shapeId="0" xr:uid="{84E3340D-237F-40E2-9032-2C40F749CB1C}">
      <text>
        <r>
          <rPr>
            <b/>
            <sz val="9"/>
            <color indexed="81"/>
            <rFont val="Tahoma"/>
            <family val="2"/>
          </rPr>
          <t>Kassam, Nadia:</t>
        </r>
        <r>
          <rPr>
            <sz val="9"/>
            <color indexed="81"/>
            <rFont val="Tahoma"/>
            <family val="2"/>
          </rPr>
          <t xml:space="preserve">
Not required per Canada Cartage</t>
        </r>
      </text>
    </comment>
    <comment ref="A16" authorId="1" shapeId="0" xr:uid="{9751F050-D9AD-4975-85CE-53D2AC032077}">
      <text>
        <r>
          <rPr>
            <b/>
            <sz val="9"/>
            <color indexed="81"/>
            <rFont val="Tahoma"/>
            <family val="2"/>
          </rPr>
          <t xml:space="preserve">Chiang, Andrew:
</t>
        </r>
        <r>
          <rPr>
            <sz val="9"/>
            <color indexed="81"/>
            <rFont val="Tahoma"/>
            <family val="2"/>
          </rPr>
          <t>Are there 3rd parties that I can create a drop down for?</t>
        </r>
      </text>
    </comment>
    <comment ref="A21" authorId="0" shapeId="0" xr:uid="{0B56AE08-EA3C-4CAC-A777-E6EA26EC0296}">
      <text>
        <r>
          <rPr>
            <b/>
            <sz val="9"/>
            <color indexed="81"/>
            <rFont val="Tahoma"/>
            <family val="2"/>
          </rPr>
          <t>Kassam, Nadia:</t>
        </r>
        <r>
          <rPr>
            <sz val="9"/>
            <color indexed="81"/>
            <rFont val="Tahoma"/>
            <family val="2"/>
          </rPr>
          <t xml:space="preserve">
Ops or Delivery to confirm the amount of frames used.</t>
        </r>
      </text>
    </comment>
    <comment ref="I32" authorId="0" shapeId="0" xr:uid="{6868E172-1E98-4FFE-9191-C0B465EAF155}">
      <text>
        <r>
          <rPr>
            <b/>
            <sz val="9"/>
            <color indexed="81"/>
            <rFont val="Tahoma"/>
            <family val="2"/>
          </rPr>
          <t>Kassam, Nadia:</t>
        </r>
        <r>
          <rPr>
            <sz val="9"/>
            <color indexed="81"/>
            <rFont val="Tahoma"/>
            <family val="2"/>
          </rPr>
          <t xml:space="preserve">
Alasdair to confirm who takes accountability for loading (Inbound Team versus Trailer Loader?)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Kassam, Nadia</author>
    <author>Chiang, Andrew</author>
  </authors>
  <commentList>
    <comment ref="K3" authorId="0" shapeId="0" xr:uid="{BC2CFF17-751B-4A5D-A723-E13D9667CB21}">
      <text>
        <r>
          <rPr>
            <b/>
            <sz val="9"/>
            <color indexed="81"/>
            <rFont val="Tahoma"/>
            <family val="2"/>
          </rPr>
          <t>Kassam, Nadia:
Nomenclature for CFC to Spoke</t>
        </r>
        <r>
          <rPr>
            <sz val="9"/>
            <color indexed="81"/>
            <rFont val="Tahoma"/>
            <family val="2"/>
          </rPr>
          <t xml:space="preserve">
-V_YYYYMMDD_Trailer ID (from OSP)
</t>
        </r>
        <r>
          <rPr>
            <b/>
            <sz val="9"/>
            <color indexed="81"/>
            <rFont val="Tahoma"/>
            <family val="2"/>
          </rPr>
          <t>Nomenclature for Spoke to CFC</t>
        </r>
        <r>
          <rPr>
            <sz val="9"/>
            <color indexed="81"/>
            <rFont val="Tahoma"/>
            <family val="2"/>
          </rPr>
          <t xml:space="preserve">
-E_YYYYMMDD_Trailer No. 
</t>
        </r>
      </text>
    </comment>
    <comment ref="K7" authorId="0" shapeId="0" xr:uid="{A3B07806-8B13-4AA3-857F-139EDC5E235E}">
      <text>
        <r>
          <rPr>
            <b/>
            <sz val="9"/>
            <color indexed="81"/>
            <rFont val="Tahoma"/>
            <family val="2"/>
          </rPr>
          <t>Kassam, Nadia:</t>
        </r>
        <r>
          <rPr>
            <sz val="9"/>
            <color indexed="81"/>
            <rFont val="Tahoma"/>
            <family val="2"/>
          </rPr>
          <t xml:space="preserve">
Ops team or Spoke team to enter manually</t>
        </r>
      </text>
    </comment>
    <comment ref="K8" authorId="0" shapeId="0" xr:uid="{1A278858-588E-4D26-8E05-3C50548F95D9}">
      <text>
        <r>
          <rPr>
            <b/>
            <sz val="9"/>
            <color indexed="81"/>
            <rFont val="Tahoma"/>
            <family val="2"/>
          </rPr>
          <t>Kassam, Nadia:</t>
        </r>
        <r>
          <rPr>
            <sz val="9"/>
            <color indexed="81"/>
            <rFont val="Tahoma"/>
            <family val="2"/>
          </rPr>
          <t xml:space="preserve">
Ops team or Spoke team to enter manually</t>
        </r>
      </text>
    </comment>
    <comment ref="I10" authorId="0" shapeId="0" xr:uid="{84E3340D-237F-40E2-9032-2C40F749CB1C}">
      <text>
        <r>
          <rPr>
            <b/>
            <sz val="9"/>
            <color indexed="81"/>
            <rFont val="Tahoma"/>
            <family val="2"/>
          </rPr>
          <t>Kassam, Nadia:</t>
        </r>
        <r>
          <rPr>
            <sz val="9"/>
            <color indexed="81"/>
            <rFont val="Tahoma"/>
            <family val="2"/>
          </rPr>
          <t xml:space="preserve">
Not required per Canada Cartage</t>
        </r>
      </text>
    </comment>
    <comment ref="A16" authorId="1" shapeId="0" xr:uid="{9751F050-D9AD-4975-85CE-53D2AC032077}">
      <text>
        <r>
          <rPr>
            <b/>
            <sz val="9"/>
            <color indexed="81"/>
            <rFont val="Tahoma"/>
            <family val="2"/>
          </rPr>
          <t xml:space="preserve">Chiang, Andrew:
</t>
        </r>
        <r>
          <rPr>
            <sz val="9"/>
            <color indexed="81"/>
            <rFont val="Tahoma"/>
            <family val="2"/>
          </rPr>
          <t>Are there 3rd parties that I can create a drop down for?</t>
        </r>
      </text>
    </comment>
    <comment ref="A21" authorId="0" shapeId="0" xr:uid="{0B56AE08-EA3C-4CAC-A777-E6EA26EC0296}">
      <text>
        <r>
          <rPr>
            <b/>
            <sz val="9"/>
            <color indexed="81"/>
            <rFont val="Tahoma"/>
            <family val="2"/>
          </rPr>
          <t>Kassam, Nadia:</t>
        </r>
        <r>
          <rPr>
            <sz val="9"/>
            <color indexed="81"/>
            <rFont val="Tahoma"/>
            <family val="2"/>
          </rPr>
          <t xml:space="preserve">
Ops or Delivery to confirm the amount of frames used.</t>
        </r>
      </text>
    </comment>
    <comment ref="I32" authorId="0" shapeId="0" xr:uid="{6868E172-1E98-4FFE-9191-C0B465EAF155}">
      <text>
        <r>
          <rPr>
            <b/>
            <sz val="9"/>
            <color indexed="81"/>
            <rFont val="Tahoma"/>
            <family val="2"/>
          </rPr>
          <t>Kassam, Nadia:</t>
        </r>
        <r>
          <rPr>
            <sz val="9"/>
            <color indexed="81"/>
            <rFont val="Tahoma"/>
            <family val="2"/>
          </rPr>
          <t xml:space="preserve">
Alasdair to confirm who takes accountability for loading (Inbound Team versus Trailer Loader?)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Kassam, Nadia</author>
    <author>Chiang, Andrew</author>
  </authors>
  <commentList>
    <comment ref="K3" authorId="0" shapeId="0" xr:uid="{5682AB6F-3FC1-4879-B4DB-878B668377B8}">
      <text>
        <r>
          <rPr>
            <b/>
            <sz val="9"/>
            <color indexed="81"/>
            <rFont val="Tahoma"/>
            <family val="2"/>
          </rPr>
          <t>Kassam, Nadia:
Nomenclature for CFC to Spoke</t>
        </r>
        <r>
          <rPr>
            <sz val="9"/>
            <color indexed="81"/>
            <rFont val="Tahoma"/>
            <family val="2"/>
          </rPr>
          <t xml:space="preserve">
-V_YYYYMMDD_Trailer ID (from OSP)
</t>
        </r>
        <r>
          <rPr>
            <b/>
            <sz val="9"/>
            <color indexed="81"/>
            <rFont val="Tahoma"/>
            <family val="2"/>
          </rPr>
          <t>Nomenclature for Spoke to CFC</t>
        </r>
        <r>
          <rPr>
            <sz val="9"/>
            <color indexed="81"/>
            <rFont val="Tahoma"/>
            <family val="2"/>
          </rPr>
          <t xml:space="preserve">
-E_YYYYMMDD_Trailer No. 
</t>
        </r>
      </text>
    </comment>
    <comment ref="K7" authorId="0" shapeId="0" xr:uid="{A05D068F-978A-48DD-883F-321AF6A558A7}">
      <text>
        <r>
          <rPr>
            <b/>
            <sz val="9"/>
            <color indexed="81"/>
            <rFont val="Tahoma"/>
            <family val="2"/>
          </rPr>
          <t>Kassam, Nadia:</t>
        </r>
        <r>
          <rPr>
            <sz val="9"/>
            <color indexed="81"/>
            <rFont val="Tahoma"/>
            <family val="2"/>
          </rPr>
          <t xml:space="preserve">
Ops team or Spoke team to enter manually</t>
        </r>
      </text>
    </comment>
    <comment ref="K8" authorId="0" shapeId="0" xr:uid="{2DBAA221-D002-48ED-A3D0-9C1C9A9FD3CD}">
      <text>
        <r>
          <rPr>
            <b/>
            <sz val="9"/>
            <color indexed="81"/>
            <rFont val="Tahoma"/>
            <family val="2"/>
          </rPr>
          <t>Kassam, Nadia:</t>
        </r>
        <r>
          <rPr>
            <sz val="9"/>
            <color indexed="81"/>
            <rFont val="Tahoma"/>
            <family val="2"/>
          </rPr>
          <t xml:space="preserve">
Ops team or Spoke team to enter manually</t>
        </r>
      </text>
    </comment>
    <comment ref="I10" authorId="0" shapeId="0" xr:uid="{CCF94A12-D67D-4A78-A34A-0C893B9D7B5E}">
      <text>
        <r>
          <rPr>
            <b/>
            <sz val="9"/>
            <color indexed="81"/>
            <rFont val="Tahoma"/>
            <family val="2"/>
          </rPr>
          <t>Kassam, Nadia:</t>
        </r>
        <r>
          <rPr>
            <sz val="9"/>
            <color indexed="81"/>
            <rFont val="Tahoma"/>
            <family val="2"/>
          </rPr>
          <t xml:space="preserve">
Not required per Canada Cartage</t>
        </r>
      </text>
    </comment>
    <comment ref="A16" authorId="1" shapeId="0" xr:uid="{CDE56913-BE1A-4BF8-8D26-1272ED83B187}">
      <text>
        <r>
          <rPr>
            <b/>
            <sz val="9"/>
            <color indexed="81"/>
            <rFont val="Tahoma"/>
            <family val="2"/>
          </rPr>
          <t xml:space="preserve">Chiang, Andrew:
</t>
        </r>
        <r>
          <rPr>
            <sz val="9"/>
            <color indexed="81"/>
            <rFont val="Tahoma"/>
            <family val="2"/>
          </rPr>
          <t>Are there 3rd parties that I can create a drop down for?</t>
        </r>
      </text>
    </comment>
    <comment ref="A21" authorId="0" shapeId="0" xr:uid="{CD54F6E9-E767-442D-A539-8206FDF44A78}">
      <text>
        <r>
          <rPr>
            <b/>
            <sz val="9"/>
            <color indexed="81"/>
            <rFont val="Tahoma"/>
            <family val="2"/>
          </rPr>
          <t>Kassam, Nadia:</t>
        </r>
        <r>
          <rPr>
            <sz val="9"/>
            <color indexed="81"/>
            <rFont val="Tahoma"/>
            <family val="2"/>
          </rPr>
          <t xml:space="preserve">
Ops or Delivery to confirm the amount of frames used.</t>
        </r>
      </text>
    </comment>
    <comment ref="I32" authorId="0" shapeId="0" xr:uid="{66FEC63E-A24F-4A58-96F6-614DF626DF0E}">
      <text>
        <r>
          <rPr>
            <b/>
            <sz val="9"/>
            <color indexed="81"/>
            <rFont val="Tahoma"/>
            <family val="2"/>
          </rPr>
          <t>Kassam, Nadia:</t>
        </r>
        <r>
          <rPr>
            <sz val="9"/>
            <color indexed="81"/>
            <rFont val="Tahoma"/>
            <family val="2"/>
          </rPr>
          <t xml:space="preserve">
Alasdair to confirm who takes accountability for loading (Inbound Team versus Trailer Loader?)</t>
        </r>
      </text>
    </comment>
  </commentList>
</comments>
</file>

<file path=xl/sharedStrings.xml><?xml version="1.0" encoding="utf-8"?>
<sst xmlns="http://schemas.openxmlformats.org/spreadsheetml/2006/main" count="360" uniqueCount="94">
  <si>
    <t>Straight Bill of Lading</t>
  </si>
  <si>
    <t>Original - Not Negotiable</t>
  </si>
  <si>
    <t>Date:</t>
  </si>
  <si>
    <t>Ship From:</t>
  </si>
  <si>
    <t xml:space="preserve">Bill of Lading No: </t>
  </si>
  <si>
    <t>Vaughan CFC 
100 Gibraltar Road 
Vaughan, ON L4H 3N5</t>
  </si>
  <si>
    <t xml:space="preserve">Carrier Name: </t>
  </si>
  <si>
    <t>Canada Cartage</t>
  </si>
  <si>
    <t>SID#:</t>
  </si>
  <si>
    <t>Trailer No:</t>
  </si>
  <si>
    <t>Ship To:</t>
  </si>
  <si>
    <t>Location No:</t>
  </si>
  <si>
    <t>Seal Number(s):</t>
  </si>
  <si>
    <t>Ottawa Spoke
2445 Don Reid Dr, Ottawa, ON K1H 1E2</t>
  </si>
  <si>
    <t>SCAC:</t>
  </si>
  <si>
    <t>CACG</t>
  </si>
  <si>
    <t>Pro No:</t>
  </si>
  <si>
    <t>CID#:</t>
  </si>
  <si>
    <t>Freight Charge Terms (prepaid unless marked otherwise):</t>
  </si>
  <si>
    <t>Special Instructions:</t>
  </si>
  <si>
    <t>Voila CFC1 Departure Time :</t>
  </si>
  <si>
    <t>3rd Pty Freight Charges - Bill To:</t>
  </si>
  <si>
    <t>Mileage Start :</t>
  </si>
  <si>
    <t>Ottawa Spoke Arrival Time :</t>
  </si>
  <si>
    <t xml:space="preserve">      </t>
  </si>
  <si>
    <t>Mileage End :</t>
  </si>
  <si>
    <t>Total Mileage :</t>
  </si>
  <si>
    <t>Handling Unit</t>
  </si>
  <si>
    <t>Package</t>
  </si>
  <si>
    <t>Commodity Description</t>
  </si>
  <si>
    <t>LTL Only</t>
  </si>
  <si>
    <t>QTY</t>
  </si>
  <si>
    <t>Type</t>
  </si>
  <si>
    <t>Wt. U. (lbs)</t>
  </si>
  <si>
    <t>H.M. (X)</t>
  </si>
  <si>
    <t>Commodities requiring special or additional care or attention in handling or stowing must be so marked and packaged as to ensure safe transportation with ordinary care. See Section 2(e) of MNMFC Item 360</t>
  </si>
  <si>
    <t>NFMC No.</t>
  </si>
  <si>
    <t>Class</t>
  </si>
  <si>
    <t>Frames</t>
  </si>
  <si>
    <t>Totes</t>
  </si>
  <si>
    <t>Mixed grocery</t>
  </si>
  <si>
    <t>Totals</t>
  </si>
  <si>
    <t>Where the rate is dependent on value, shippers are required to state specifically in writing the agreed or declared value of the property as follows:</t>
  </si>
  <si>
    <t>The carrier shall not make delivery of this shipment without payment of freight and all other lawful charges.</t>
  </si>
  <si>
    <t>The agreed or declared value of the property is specifically stated by the shipper to be not exceeding</t>
  </si>
  <si>
    <t>Shipper Signature</t>
  </si>
  <si>
    <t>FOB</t>
  </si>
  <si>
    <t>NOTE: Liability Limitation for loss or damage in this shipment may be applicable. See 49 U.S.C. - 14706(c)(1)(A) and (B).</t>
  </si>
  <si>
    <t>RECEIVED, subject to individually determined rates or contracts that have been agreed upon in writing between the carrier and shipper, if applicable, otherwise to the rates, classifications and rules that have been established by the carrier and are available to the shipper on request. The property described above, in apparent good order, except as noted (contents and condition of contents of packages unknown), marked, consigned, and destined as shown above, which said carrier agrees to carry to destination, if on its route, or other wise deliver to another carrier on the route to destination. Every service to be performed hereunder shall be subject to all bill of lading terms and conditions in the governing classification on the date of shipment. Shipper hereby certifies that he is hereby familiar with all the bill of lading terms and conditions in the governing classification and the said terms and conditions are hereby agreed to by the shipper and accepted for himself and his assigns.</t>
  </si>
  <si>
    <t>This is to certify that the above named materials are properly classified, packaged, marked and labeled, and are in proper condition for transportation according to the applicable regulations of the DOT.</t>
  </si>
  <si>
    <t>Trailer Loaded</t>
  </si>
  <si>
    <t>Freight Counted</t>
  </si>
  <si>
    <t>Carrier acknowledges receipt of packages and required placards. Carrier certifies emergency response information was made available and/or carrier has the DOT emergency response guidebook or equivalent documentation in the vehicle. Property described above is received in good order, except as noted.</t>
  </si>
  <si>
    <t>Date</t>
  </si>
  <si>
    <t>Carrier Signature</t>
  </si>
  <si>
    <t>Pickup Date</t>
  </si>
  <si>
    <t>DATE</t>
  </si>
  <si>
    <t>Time</t>
  </si>
  <si>
    <t>10:00PM</t>
  </si>
  <si>
    <t>Ambient Trailer #</t>
  </si>
  <si>
    <t>Chill Trailer #</t>
  </si>
  <si>
    <t>Does Van/Trailer comply with the following standards (✓ or X ):</t>
  </si>
  <si>
    <t>Incoming Trailer in Good Condition</t>
  </si>
  <si>
    <t>✓</t>
  </si>
  <si>
    <t>Cleanliness (No Contamination Risk from Dirt, Debris, Garbage, Damaged Pallets, etc.)</t>
  </si>
  <si>
    <t>No Indication and Free of Pest Infestation</t>
  </si>
  <si>
    <t>Within Temperature Range and No Signs of Temperature Abuse</t>
  </si>
  <si>
    <t xml:space="preserve">No Signs of Physical Damage to Product or Packaging </t>
  </si>
  <si>
    <t xml:space="preserve">No Signs and Free of Chemical Contamination and Other Contaminates </t>
  </si>
  <si>
    <t>Trailer #</t>
  </si>
  <si>
    <t>Temperature (°C)*</t>
  </si>
  <si>
    <t>Comply?(Y/N)</t>
  </si>
  <si>
    <t>If No, indicate # from above</t>
  </si>
  <si>
    <t>Initials</t>
  </si>
  <si>
    <t>2.2°C</t>
  </si>
  <si>
    <t>Y</t>
  </si>
  <si>
    <t>AS</t>
  </si>
  <si>
    <t>* Please always indicate a decimal for the temperature degrees Celsius.</t>
  </si>
  <si>
    <t>Supervisor Name</t>
  </si>
  <si>
    <t>Ajaipal Singh Sangha</t>
  </si>
  <si>
    <t xml:space="preserve">. +A1:F38Delivery trucks shall be pre-cooled to no greater than4°C (40°F).  Frozen products must be maintained at a temperature that will prevent thawing and maintain product quality and safety. 2.In the event that a delivery truck does not meet the food safety criteria above, the shipper shall contact the Outbound Supervisorfor follow-up as identified below:•The Outbound Supervisor must initial receipt of a delivery truck on the shipping document if a deviation is reported, and confirm that corrective action is complete for the delivery truck to be accepted into service. </t>
  </si>
  <si>
    <t>chill</t>
  </si>
  <si>
    <t>Ambient</t>
  </si>
  <si>
    <t>Etobicoke Spoke
1561 The Queensway
Etobicoke, ON M8Z 1T8</t>
  </si>
  <si>
    <t>H521601</t>
  </si>
  <si>
    <t>2:30 ES</t>
  </si>
  <si>
    <t/>
  </si>
  <si>
    <t xml:space="preserve">                            </t>
  </si>
  <si>
    <t>Structural Concerns (No visible trailer damage or holes that can compromise product)</t>
  </si>
  <si>
    <t>-</t>
  </si>
  <si>
    <t xml:space="preserve">. Delivery trucks shall be pre-cooled to no greater than4°C (40°F).  Frozen products must be maintained at a temperature that will prevent thawing and maintain product quality and safety. 2.In the event that a delivery truck does not meet the food safety criteria above, the shipper shall contact the Outbound Supervisorfor follow-up as identified below:•The Outbound Supervisor must initial receipt of a delivery truck on the shipping document if a deviation is reported, and confirm that corrective action is complete for the delivery truck to be accepted into service. </t>
  </si>
  <si>
    <t>3:00ES</t>
  </si>
  <si>
    <t>5:30ES</t>
  </si>
  <si>
    <t>Sobeys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</si>
</sst>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0"/>
      <color theme="1"/>
      <name val="Calibri"/>
      <family val="2"/>
      <scheme val="minor"/>
    </font>
    <font>
      <sz val="8"/>
      <color theme="1"/>
      <name val="Calibri"/>
      <family val="2"/>
      <scheme val="minor"/>
    </font>
    <font>
      <sz val="9"/>
      <color indexed="81"/>
      <name val="Tahoma"/>
      <family val="2"/>
    </font>
    <font>
      <b/>
      <sz val="9"/>
      <color indexed="81"/>
      <name val="Tahoma"/>
      <family val="2"/>
    </font>
    <font>
      <b/>
      <sz val="8"/>
      <color theme="1"/>
      <name val="Calibri"/>
      <family val="2"/>
      <scheme val="minor"/>
    </font>
    <font>
      <b/>
      <sz val="10"/>
      <color theme="1"/>
      <name val="Calibri"/>
      <family val="2"/>
      <scheme val="minor"/>
    </font>
    <font>
      <sz val="11"/>
      <name val="Calibri"/>
      <family val="2"/>
      <scheme val="minor"/>
    </font>
    <font>
      <b/>
      <sz val="14"/>
      <color theme="1"/>
      <name val="Calibri"/>
      <family val="2"/>
      <scheme val="minor"/>
    </font>
    <font>
      <b/>
      <sz val="12"/>
      <color theme="1"/>
      <name val="Calibri"/>
      <family val="2"/>
      <scheme val="minor"/>
    </font>
    <font>
      <b/>
      <sz val="9.5"/>
      <color rgb="FF424242"/>
      <name val="Calibri"/>
      <family val="2"/>
      <scheme val="minor"/>
    </font>
    <font>
      <b/>
      <i/>
      <sz val="14"/>
      <color theme="1"/>
      <name val="Calibri"/>
      <family val="2"/>
      <scheme val="minor"/>
    </font>
    <font>
      <sz val="8"/>
      <name val="Calibri"/>
      <family val="2"/>
      <scheme val="minor"/>
    </font>
    <font>
      <sz val="8"/>
      <color rgb="FF000000"/>
      <name val="Segoe U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5">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1">
    <xf numFmtId="0" fontId="0" fillId="0" borderId="0"/>
  </cellStyleXfs>
  <cellXfs count="161">
    <xf numFmtId="0" fontId="0" fillId="0" borderId="0" xfId="0"/>
    <xf numFmtId="0" fontId="0" fillId="3" borderId="0" xfId="0" applyFill="1"/>
    <xf numFmtId="0" fontId="0" fillId="3" borderId="3" xfId="0" applyFill="1" applyBorder="1"/>
    <xf numFmtId="0" fontId="0" fillId="3" borderId="2" xfId="0" applyFill="1" applyBorder="1"/>
    <xf numFmtId="0" fontId="0" fillId="3" borderId="7" xfId="0" applyFill="1" applyBorder="1"/>
    <xf numFmtId="0" fontId="1" fillId="3" borderId="11" xfId="0" applyFont="1" applyFill="1" applyBorder="1"/>
    <xf numFmtId="0" fontId="0" fillId="3" borderId="8" xfId="0" applyFill="1" applyBorder="1" applyAlignment="1">
      <alignment vertical="top" wrapText="1"/>
    </xf>
    <xf numFmtId="0" fontId="0" fillId="3" borderId="9" xfId="0" applyFill="1" applyBorder="1"/>
    <xf numFmtId="0" fontId="0" fillId="3" borderId="1" xfId="0" applyFill="1" applyBorder="1"/>
    <xf numFmtId="0" fontId="0" fillId="3" borderId="0" xfId="0" applyFill="1" applyAlignment="1">
      <alignment horizontal="left"/>
    </xf>
    <xf numFmtId="0" fontId="2" fillId="3" borderId="10" xfId="0" applyFont="1" applyFill="1" applyBorder="1"/>
    <xf numFmtId="0" fontId="0" fillId="3" borderId="8" xfId="0" applyFill="1" applyBorder="1" applyAlignment="1">
      <alignment wrapText="1"/>
    </xf>
    <xf numFmtId="0" fontId="0" fillId="3" borderId="3" xfId="0" applyFill="1" applyBorder="1" applyAlignment="1">
      <alignment horizontal="left"/>
    </xf>
    <xf numFmtId="0" fontId="1" fillId="3" borderId="0" xfId="0" applyFont="1" applyFill="1"/>
    <xf numFmtId="0" fontId="0" fillId="3" borderId="10" xfId="0" applyFill="1" applyBorder="1"/>
    <xf numFmtId="0" fontId="0" fillId="3" borderId="11" xfId="0" applyFill="1" applyBorder="1"/>
    <xf numFmtId="0" fontId="0" fillId="3" borderId="13" xfId="0" applyFill="1" applyBorder="1"/>
    <xf numFmtId="0" fontId="3" fillId="3" borderId="4" xfId="0" applyFont="1" applyFill="1" applyBorder="1" applyAlignment="1">
      <alignment horizontal="center" vertical="top"/>
    </xf>
    <xf numFmtId="0" fontId="3" fillId="3" borderId="7" xfId="0" applyFont="1" applyFill="1" applyBorder="1" applyAlignment="1">
      <alignment horizontal="center" vertical="top"/>
    </xf>
    <xf numFmtId="0" fontId="3" fillId="3" borderId="4" xfId="0" applyFont="1" applyFill="1" applyBorder="1" applyAlignment="1">
      <alignment horizontal="center" vertical="top" wrapText="1"/>
    </xf>
    <xf numFmtId="0" fontId="3" fillId="3" borderId="7" xfId="0" applyFont="1" applyFill="1" applyBorder="1" applyAlignment="1">
      <alignment horizontal="center" vertical="top" wrapText="1"/>
    </xf>
    <xf numFmtId="0" fontId="3" fillId="3" borderId="4" xfId="0" applyFont="1" applyFill="1" applyBorder="1" applyAlignment="1">
      <alignment horizontal="center" wrapText="1"/>
    </xf>
    <xf numFmtId="0" fontId="3" fillId="3" borderId="7" xfId="0" applyFont="1" applyFill="1" applyBorder="1" applyAlignment="1">
      <alignment horizontal="center" vertical="center"/>
    </xf>
    <xf numFmtId="0" fontId="3" fillId="3" borderId="4" xfId="0" applyFont="1" applyFill="1" applyBorder="1"/>
    <xf numFmtId="0" fontId="3" fillId="3" borderId="7" xfId="0" applyFont="1" applyFill="1" applyBorder="1"/>
    <xf numFmtId="1" fontId="3" fillId="3" borderId="4" xfId="0" applyNumberFormat="1" applyFont="1" applyFill="1" applyBorder="1"/>
    <xf numFmtId="0" fontId="3" fillId="3" borderId="20" xfId="0" applyFont="1" applyFill="1" applyBorder="1"/>
    <xf numFmtId="0" fontId="3" fillId="3" borderId="21" xfId="0" applyFont="1" applyFill="1" applyBorder="1"/>
    <xf numFmtId="0" fontId="6" fillId="3" borderId="0" xfId="0" applyFont="1" applyFill="1"/>
    <xf numFmtId="0" fontId="3" fillId="3" borderId="3" xfId="0" applyFont="1" applyFill="1" applyBorder="1"/>
    <xf numFmtId="0" fontId="3" fillId="2" borderId="4" xfId="0" applyFont="1" applyFill="1" applyBorder="1"/>
    <xf numFmtId="0" fontId="3" fillId="3" borderId="10" xfId="0" applyFont="1" applyFill="1" applyBorder="1" applyAlignment="1">
      <alignment vertical="top"/>
    </xf>
    <xf numFmtId="0" fontId="8" fillId="0" borderId="0" xfId="0" applyFont="1"/>
    <xf numFmtId="0" fontId="0" fillId="3" borderId="15" xfId="0" applyFill="1" applyBorder="1"/>
    <xf numFmtId="0" fontId="0" fillId="3" borderId="25" xfId="0" applyFill="1" applyBorder="1"/>
    <xf numFmtId="0" fontId="2" fillId="3" borderId="11" xfId="0" applyFont="1" applyFill="1" applyBorder="1"/>
    <xf numFmtId="0" fontId="0" fillId="3" borderId="30" xfId="0" applyFill="1" applyBorder="1"/>
    <xf numFmtId="0" fontId="0" fillId="3" borderId="31" xfId="0" applyFill="1" applyBorder="1"/>
    <xf numFmtId="0" fontId="0" fillId="3" borderId="33" xfId="0" applyFill="1" applyBorder="1"/>
    <xf numFmtId="0" fontId="0" fillId="3" borderId="34" xfId="0" applyFill="1" applyBorder="1"/>
    <xf numFmtId="0" fontId="0" fillId="3" borderId="35" xfId="0" applyFill="1" applyBorder="1"/>
    <xf numFmtId="0" fontId="0" fillId="3" borderId="36" xfId="0" applyFill="1" applyBorder="1"/>
    <xf numFmtId="0" fontId="0" fillId="0" borderId="0" xfId="0" applyAlignment="1">
      <alignment horizontal="center" vertical="center"/>
    </xf>
    <xf numFmtId="0" fontId="9" fillId="0" borderId="4" xfId="0" applyFont="1" applyBorder="1" applyAlignment="1">
      <alignment vertical="center" wrapText="1"/>
    </xf>
    <xf numFmtId="0" fontId="9" fillId="0" borderId="4" xfId="0" applyFont="1" applyBorder="1" applyAlignment="1">
      <alignment horizontal="center" vertical="center" wrapText="1"/>
    </xf>
    <xf numFmtId="0" fontId="10" fillId="2"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4" xfId="0" applyFont="1" applyBorder="1" applyAlignment="1">
      <alignment horizontal="center" wrapText="1"/>
    </xf>
    <xf numFmtId="0" fontId="0" fillId="2" borderId="38" xfId="0" applyFill="1" applyBorder="1" applyAlignment="1">
      <alignment horizontal="center"/>
    </xf>
    <xf numFmtId="0" fontId="0" fillId="0" borderId="41" xfId="0" applyBorder="1" applyAlignment="1">
      <alignment horizontal="center" vertical="center"/>
    </xf>
    <xf numFmtId="0" fontId="0" fillId="0" borderId="26" xfId="0" applyBorder="1" applyAlignment="1">
      <alignment horizontal="center" vertical="center"/>
    </xf>
    <xf numFmtId="0" fontId="0" fillId="0" borderId="42" xfId="0" applyBorder="1" applyAlignment="1">
      <alignment horizontal="center" vertical="center"/>
    </xf>
    <xf numFmtId="0" fontId="0" fillId="3" borderId="43" xfId="0" applyFill="1" applyBorder="1"/>
    <xf numFmtId="0" fontId="0" fillId="3" borderId="44" xfId="0" applyFill="1" applyBorder="1"/>
    <xf numFmtId="0" fontId="0" fillId="3" borderId="0" xfId="0" quotePrefix="1" applyFill="1"/>
    <xf numFmtId="0" fontId="1" fillId="3" borderId="0" xfId="0" applyFont="1" applyFill="1" applyAlignment="1">
      <alignment horizontal="left" vertical="top"/>
    </xf>
    <xf numFmtId="0" fontId="0" fillId="3" borderId="3" xfId="0" applyFill="1" applyBorder="1" applyAlignment="1">
      <alignment horizontal="left" vertical="top"/>
    </xf>
    <xf numFmtId="14" fontId="0" fillId="3" borderId="6" xfId="0" applyNumberFormat="1" applyFill="1" applyBorder="1" applyAlignment="1">
      <alignment horizontal="left"/>
    </xf>
    <xf numFmtId="0" fontId="0" fillId="3" borderId="6" xfId="0" applyFill="1" applyBorder="1" applyAlignment="1">
      <alignment horizontal="left"/>
    </xf>
    <xf numFmtId="0" fontId="1" fillId="3" borderId="32" xfId="0" applyFont="1" applyFill="1" applyBorder="1" applyAlignment="1">
      <alignment horizontal="left"/>
    </xf>
    <xf numFmtId="0" fontId="1" fillId="3" borderId="8" xfId="0" applyFont="1" applyFill="1" applyBorder="1" applyAlignment="1">
      <alignment horizontal="left"/>
    </xf>
    <xf numFmtId="0" fontId="0" fillId="3" borderId="0" xfId="0" applyFill="1" applyAlignment="1">
      <alignment horizontal="center"/>
    </xf>
    <xf numFmtId="0" fontId="0" fillId="3" borderId="8" xfId="0" applyFill="1" applyBorder="1" applyAlignment="1">
      <alignment horizontal="left"/>
    </xf>
    <xf numFmtId="0" fontId="1" fillId="3" borderId="0" xfId="0" applyFont="1" applyFill="1" applyAlignment="1">
      <alignment horizontal="left"/>
    </xf>
    <xf numFmtId="0" fontId="1" fillId="3" borderId="10" xfId="0" applyFont="1" applyFill="1" applyBorder="1" applyAlignment="1">
      <alignment horizontal="left"/>
    </xf>
    <xf numFmtId="0" fontId="1" fillId="3" borderId="3" xfId="0" applyFont="1" applyFill="1" applyBorder="1" applyAlignment="1">
      <alignment horizontal="left"/>
    </xf>
    <xf numFmtId="0" fontId="0" fillId="3" borderId="3" xfId="0" applyFill="1" applyBorder="1" applyAlignment="1">
      <alignment horizontal="center"/>
    </xf>
    <xf numFmtId="0" fontId="0" fillId="3" borderId="8" xfId="0" applyFill="1" applyBorder="1" applyAlignment="1">
      <alignment horizontal="left" wrapText="1"/>
    </xf>
    <xf numFmtId="0" fontId="0" fillId="3" borderId="11" xfId="0" applyFill="1" applyBorder="1" applyAlignment="1">
      <alignment horizontal="left" wrapText="1"/>
    </xf>
    <xf numFmtId="0" fontId="0" fillId="3" borderId="0" xfId="0" applyFill="1" applyAlignment="1">
      <alignment horizontal="left" wrapText="1"/>
    </xf>
    <xf numFmtId="0" fontId="0" fillId="2" borderId="0" xfId="0" applyFill="1" applyAlignment="1">
      <alignment horizontal="left" vertical="top"/>
    </xf>
    <xf numFmtId="0" fontId="1" fillId="3" borderId="12" xfId="0" applyFont="1" applyFill="1" applyBorder="1" applyAlignment="1">
      <alignment horizontal="left"/>
    </xf>
    <xf numFmtId="0" fontId="0" fillId="2" borderId="8" xfId="0" applyFill="1" applyBorder="1" applyAlignment="1">
      <alignment horizontal="left" vertical="top"/>
    </xf>
    <xf numFmtId="0" fontId="0" fillId="2" borderId="9" xfId="0" applyFill="1" applyBorder="1" applyAlignment="1">
      <alignment horizontal="left" vertical="top"/>
    </xf>
    <xf numFmtId="0" fontId="3" fillId="3" borderId="18" xfId="0" applyFont="1" applyFill="1" applyBorder="1" applyAlignment="1">
      <alignment horizontal="center"/>
    </xf>
    <xf numFmtId="0" fontId="3" fillId="3" borderId="19" xfId="0" applyFont="1" applyFill="1" applyBorder="1" applyAlignment="1">
      <alignment horizontal="center"/>
    </xf>
    <xf numFmtId="0" fontId="3" fillId="3" borderId="17" xfId="0" applyFont="1" applyFill="1" applyBorder="1" applyAlignment="1">
      <alignment horizontal="center"/>
    </xf>
    <xf numFmtId="0" fontId="0" fillId="3" borderId="17" xfId="0" applyFill="1" applyBorder="1" applyAlignment="1">
      <alignment horizontal="center"/>
    </xf>
    <xf numFmtId="0" fontId="0" fillId="3" borderId="19" xfId="0" applyFill="1" applyBorder="1" applyAlignment="1">
      <alignment horizontal="center"/>
    </xf>
    <xf numFmtId="0" fontId="0" fillId="3" borderId="26" xfId="0" applyFill="1" applyBorder="1" applyAlignment="1">
      <alignment horizontal="left"/>
    </xf>
    <xf numFmtId="0" fontId="0" fillId="3" borderId="4" xfId="0" applyFill="1" applyBorder="1" applyAlignment="1">
      <alignment horizontal="left"/>
    </xf>
    <xf numFmtId="0" fontId="0" fillId="3" borderId="27" xfId="0" applyFill="1" applyBorder="1" applyAlignment="1">
      <alignment horizontal="left"/>
    </xf>
    <xf numFmtId="0" fontId="0" fillId="3" borderId="28" xfId="0" applyFill="1" applyBorder="1" applyAlignment="1">
      <alignment horizontal="left"/>
    </xf>
    <xf numFmtId="0" fontId="0" fillId="3" borderId="23" xfId="0" applyFill="1" applyBorder="1" applyAlignment="1">
      <alignment horizontal="left"/>
    </xf>
    <xf numFmtId="0" fontId="0" fillId="3" borderId="29" xfId="0" applyFill="1" applyBorder="1" applyAlignment="1">
      <alignment horizontal="left"/>
    </xf>
    <xf numFmtId="0" fontId="0" fillId="0" borderId="26" xfId="0" applyBorder="1" applyAlignment="1">
      <alignment horizontal="left"/>
    </xf>
    <xf numFmtId="0" fontId="0" fillId="0" borderId="4" xfId="0" applyBorder="1" applyAlignment="1">
      <alignment horizontal="left"/>
    </xf>
    <xf numFmtId="0" fontId="0" fillId="0" borderId="27" xfId="0"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3" fillId="3" borderId="7" xfId="0" applyFont="1" applyFill="1" applyBorder="1" applyAlignment="1">
      <alignment horizontal="left"/>
    </xf>
    <xf numFmtId="0" fontId="3" fillId="3" borderId="12"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3" borderId="0" xfId="0" applyFont="1" applyFill="1" applyAlignment="1">
      <alignment horizontal="left" vertical="top" wrapText="1"/>
    </xf>
    <xf numFmtId="0" fontId="3" fillId="3" borderId="1" xfId="0" applyFont="1" applyFill="1" applyBorder="1" applyAlignment="1">
      <alignment horizontal="left" vertical="top" wrapText="1"/>
    </xf>
    <xf numFmtId="0" fontId="3" fillId="3" borderId="10"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2" xfId="0" applyFont="1" applyFill="1" applyBorder="1" applyAlignment="1">
      <alignment horizontal="left" vertical="top" wrapText="1"/>
    </xf>
    <xf numFmtId="0" fontId="6" fillId="3" borderId="10"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2"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15" xfId="0" applyFont="1" applyFill="1" applyBorder="1" applyAlignment="1">
      <alignment horizontal="left" vertical="top" wrapText="1"/>
    </xf>
    <xf numFmtId="0" fontId="3" fillId="3" borderId="16" xfId="0" applyFont="1" applyFill="1" applyBorder="1" applyAlignment="1">
      <alignment horizontal="left" vertical="top" wrapText="1"/>
    </xf>
    <xf numFmtId="0" fontId="3" fillId="3" borderId="11" xfId="0" applyFont="1" applyFill="1" applyBorder="1" applyAlignment="1">
      <alignment horizontal="left" vertical="top"/>
    </xf>
    <xf numFmtId="0" fontId="3" fillId="3" borderId="0" xfId="0" applyFont="1" applyFill="1" applyAlignment="1">
      <alignment horizontal="left" vertical="top"/>
    </xf>
    <xf numFmtId="0" fontId="6" fillId="3" borderId="22" xfId="0" applyFont="1" applyFill="1" applyBorder="1" applyAlignment="1">
      <alignment horizontal="left"/>
    </xf>
    <xf numFmtId="0" fontId="6" fillId="3" borderId="23" xfId="0" applyFont="1" applyFill="1" applyBorder="1" applyAlignment="1">
      <alignment horizontal="left"/>
    </xf>
    <xf numFmtId="0" fontId="6" fillId="3" borderId="21" xfId="0" applyFont="1" applyFill="1" applyBorder="1" applyAlignment="1">
      <alignment horizontal="left"/>
    </xf>
    <xf numFmtId="0" fontId="3" fillId="3" borderId="6" xfId="0" applyFont="1" applyFill="1" applyBorder="1" applyAlignment="1">
      <alignment horizontal="left" vertical="top"/>
    </xf>
    <xf numFmtId="0" fontId="3" fillId="3" borderId="7" xfId="0" applyFont="1" applyFill="1" applyBorder="1" applyAlignment="1">
      <alignment horizontal="left" vertical="top"/>
    </xf>
    <xf numFmtId="0" fontId="3" fillId="3" borderId="5" xfId="0" applyFont="1" applyFill="1" applyBorder="1" applyAlignment="1">
      <alignment horizontal="left" vertical="top"/>
    </xf>
    <xf numFmtId="0" fontId="3" fillId="3" borderId="3" xfId="0" applyFont="1" applyFill="1" applyBorder="1" applyAlignment="1">
      <alignment horizontal="left"/>
    </xf>
    <xf numFmtId="0" fontId="3" fillId="3" borderId="2" xfId="0" applyFont="1" applyFill="1" applyBorder="1" applyAlignment="1">
      <alignment horizontal="left"/>
    </xf>
    <xf numFmtId="14" fontId="3" fillId="3" borderId="3" xfId="0" applyNumberFormat="1" applyFont="1" applyFill="1" applyBorder="1" applyAlignment="1">
      <alignment horizontal="left"/>
    </xf>
    <xf numFmtId="0" fontId="6" fillId="3" borderId="11"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3" xfId="0" applyFont="1" applyFill="1" applyBorder="1" applyAlignment="1">
      <alignment horizontal="center"/>
    </xf>
    <xf numFmtId="0" fontId="6" fillId="3" borderId="2" xfId="0" applyFont="1" applyFill="1" applyBorder="1" applyAlignment="1">
      <alignment horizontal="center"/>
    </xf>
    <xf numFmtId="0" fontId="1" fillId="3" borderId="24" xfId="0" applyFont="1" applyFill="1" applyBorder="1" applyAlignment="1">
      <alignment horizontal="left" vertical="top"/>
    </xf>
    <xf numFmtId="0" fontId="1" fillId="3" borderId="15" xfId="0" applyFont="1" applyFill="1" applyBorder="1" applyAlignment="1">
      <alignment horizontal="left" vertical="top"/>
    </xf>
    <xf numFmtId="0" fontId="7" fillId="3" borderId="24" xfId="0" applyFont="1" applyFill="1" applyBorder="1" applyAlignment="1">
      <alignment horizontal="left"/>
    </xf>
    <xf numFmtId="0" fontId="7" fillId="3" borderId="15" xfId="0" applyFont="1" applyFill="1" applyBorder="1" applyAlignment="1">
      <alignment horizontal="left"/>
    </xf>
    <xf numFmtId="0" fontId="7" fillId="3" borderId="25" xfId="0" applyFont="1" applyFill="1" applyBorder="1" applyAlignment="1">
      <alignment horizontal="left"/>
    </xf>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xf>
    <xf numFmtId="0" fontId="3" fillId="3" borderId="7" xfId="0" applyFont="1" applyFill="1" applyBorder="1" applyAlignment="1">
      <alignment horizontal="center" vertical="top"/>
    </xf>
    <xf numFmtId="0" fontId="6" fillId="3" borderId="18" xfId="0" applyFont="1" applyFill="1" applyBorder="1" applyAlignment="1">
      <alignment horizontal="center"/>
    </xf>
    <xf numFmtId="0" fontId="6" fillId="3" borderId="17" xfId="0" applyFont="1" applyFill="1" applyBorder="1" applyAlignment="1">
      <alignment horizontal="center"/>
    </xf>
    <xf numFmtId="0" fontId="9" fillId="0" borderId="4" xfId="0" applyFont="1" applyBorder="1" applyAlignment="1">
      <alignment horizontal="center"/>
    </xf>
    <xf numFmtId="0" fontId="0" fillId="0" borderId="40" xfId="0" applyBorder="1" applyAlignment="1">
      <alignment horizontal="left"/>
    </xf>
    <xf numFmtId="0" fontId="0" fillId="0" borderId="17" xfId="0" applyBorder="1" applyAlignment="1">
      <alignment horizontal="left"/>
    </xf>
    <xf numFmtId="0" fontId="0" fillId="0" borderId="39" xfId="0" applyBorder="1" applyAlignment="1">
      <alignment horizontal="left"/>
    </xf>
    <xf numFmtId="0" fontId="3" fillId="0" borderId="4" xfId="0" applyFont="1" applyBorder="1" applyAlignment="1">
      <alignment horizontal="center" vertical="center" wrapText="1"/>
    </xf>
    <xf numFmtId="0" fontId="9" fillId="0" borderId="6" xfId="0" applyFont="1" applyBorder="1" applyAlignment="1">
      <alignment horizontal="center" vertical="center" wrapText="1"/>
    </xf>
    <xf numFmtId="0" fontId="10" fillId="2" borderId="5" xfId="0" applyFont="1" applyFill="1" applyBorder="1" applyAlignment="1">
      <alignment horizontal="center"/>
    </xf>
    <xf numFmtId="0" fontId="10" fillId="2" borderId="7" xfId="0" applyFont="1" applyFill="1" applyBorder="1" applyAlignment="1">
      <alignment horizontal="center"/>
    </xf>
    <xf numFmtId="0" fontId="11" fillId="0" borderId="2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37" xfId="0" applyFont="1" applyBorder="1" applyAlignment="1">
      <alignment horizontal="center" vertical="center" wrapText="1"/>
    </xf>
    <xf numFmtId="0" fontId="10" fillId="0" borderId="4" xfId="0" applyFont="1" applyBorder="1" applyAlignment="1">
      <alignment horizontal="center" wrapText="1"/>
    </xf>
    <xf numFmtId="0" fontId="1" fillId="0" borderId="40" xfId="0" applyFont="1" applyBorder="1" applyAlignment="1">
      <alignment horizontal="center"/>
    </xf>
    <xf numFmtId="0" fontId="1" fillId="0" borderId="39" xfId="0" applyFont="1" applyBorder="1" applyAlignment="1">
      <alignment horizontal="center"/>
    </xf>
    <xf numFmtId="18" fontId="0" fillId="2" borderId="40" xfId="0" applyNumberFormat="1" applyFill="1" applyBorder="1" applyAlignment="1">
      <alignment horizontal="center"/>
    </xf>
    <xf numFmtId="0" fontId="0" fillId="2" borderId="39" xfId="0" applyFill="1" applyBorder="1" applyAlignment="1">
      <alignment horizontal="center"/>
    </xf>
    <xf numFmtId="0" fontId="0" fillId="0" borderId="40" xfId="0" applyBorder="1" applyAlignment="1">
      <alignment horizontal="center"/>
    </xf>
    <xf numFmtId="0" fontId="0" fillId="0" borderId="39" xfId="0" applyBorder="1" applyAlignment="1">
      <alignment horizontal="center"/>
    </xf>
    <xf numFmtId="14" fontId="0" fillId="2" borderId="40" xfId="0" applyNumberFormat="1" applyFill="1" applyBorder="1" applyAlignment="1">
      <alignment horizontal="center"/>
    </xf>
    <xf numFmtId="0" fontId="10" fillId="0" borderId="5" xfId="0" applyFont="1" applyBorder="1" applyAlignment="1">
      <alignment horizontal="center" wrapText="1"/>
    </xf>
    <xf numFmtId="0" fontId="10" fillId="0" borderId="7" xfId="0" applyFont="1" applyBorder="1" applyAlignment="1">
      <alignment horizont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2" fillId="0" borderId="0" xfId="0" applyFont="1" applyAlignment="1">
      <alignment horizontal="center"/>
    </xf>
    <xf numFmtId="0" fontId="6" fillId="3" borderId="19" xfId="0" applyFont="1" applyFill="1" applyBorder="1" applyAlignment="1">
      <alignment horizontal="center"/>
    </xf>
    <xf numFmtId="0" fontId="1" fillId="3" borderId="8" xfId="0" applyFont="1" applyFill="1" applyBorder="1" applyAlignment="1">
      <alignment horizontal="left" vertical="top"/>
    </xf>
    <xf numFmtId="0" fontId="7" fillId="3" borderId="12" xfId="0" applyFont="1" applyFill="1" applyBorder="1" applyAlignment="1">
      <alignment horizontal="left"/>
    </xf>
    <xf numFmtId="0" fontId="7" fillId="3" borderId="8" xfId="0" applyFont="1" applyFill="1" applyBorder="1" applyAlignment="1">
      <alignment horizontal="left"/>
    </xf>
    <xf numFmtId="0" fontId="7" fillId="3" borderId="9" xfId="0" applyFont="1" applyFill="1" applyBorder="1" applyAlignment="1">
      <alignment horizontal="left"/>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19050</xdr:colOff>
          <xdr:row>6</xdr:row>
          <xdr:rowOff>0</xdr:rowOff>
        </xdr:from>
        <xdr:to>
          <xdr:col>8</xdr:col>
          <xdr:colOff>209550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0</xdr:rowOff>
        </xdr:from>
        <xdr:to>
          <xdr:col>8</xdr:col>
          <xdr:colOff>190500</xdr:colOff>
          <xdr:row>12</xdr:row>
          <xdr:rowOff>9525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13</xdr:row>
          <xdr:rowOff>0</xdr:rowOff>
        </xdr:from>
        <xdr:to>
          <xdr:col>2</xdr:col>
          <xdr:colOff>133350</xdr:colOff>
          <xdr:row>14</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0</xdr:rowOff>
        </xdr:from>
        <xdr:to>
          <xdr:col>4</xdr:col>
          <xdr:colOff>190500</xdr:colOff>
          <xdr:row>14</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Collect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13</xdr:row>
          <xdr:rowOff>0</xdr:rowOff>
        </xdr:from>
        <xdr:to>
          <xdr:col>6</xdr:col>
          <xdr:colOff>152400</xdr:colOff>
          <xdr:row>14</xdr:row>
          <xdr:rowOff>19050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3rd Party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409575</xdr:colOff>
          <xdr:row>11</xdr:row>
          <xdr:rowOff>180975</xdr:rowOff>
        </xdr:from>
        <xdr:to>
          <xdr:col>14</xdr:col>
          <xdr:colOff>285750</xdr:colOff>
          <xdr:row>13</xdr:row>
          <xdr:rowOff>9525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Master BOL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42</xdr:row>
          <xdr:rowOff>0</xdr:rowOff>
        </xdr:from>
        <xdr:to>
          <xdr:col>9</xdr:col>
          <xdr:colOff>171450</xdr:colOff>
          <xdr:row>43</xdr:row>
          <xdr:rowOff>19050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43</xdr:row>
          <xdr:rowOff>9525</xdr:rowOff>
        </xdr:from>
        <xdr:to>
          <xdr:col>9</xdr:col>
          <xdr:colOff>438150</xdr:colOff>
          <xdr:row>45</xdr:row>
          <xdr:rowOff>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Driver/pallet said to contain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45</xdr:row>
          <xdr:rowOff>0</xdr:rowOff>
        </xdr:from>
        <xdr:to>
          <xdr:col>9</xdr:col>
          <xdr:colOff>485775</xdr:colOff>
          <xdr:row>46</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Driver/Pieces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41</xdr:row>
          <xdr:rowOff>171450</xdr:rowOff>
        </xdr:from>
        <xdr:to>
          <xdr:col>7</xdr:col>
          <xdr:colOff>209550</xdr:colOff>
          <xdr:row>43</xdr:row>
          <xdr:rowOff>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42</xdr:row>
          <xdr:rowOff>180975</xdr:rowOff>
        </xdr:from>
        <xdr:to>
          <xdr:col>7</xdr:col>
          <xdr:colOff>209550</xdr:colOff>
          <xdr:row>44</xdr:row>
          <xdr:rowOff>9525</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19050</xdr:colOff>
          <xdr:row>6</xdr:row>
          <xdr:rowOff>0</xdr:rowOff>
        </xdr:from>
        <xdr:to>
          <xdr:col>8</xdr:col>
          <xdr:colOff>209550</xdr:colOff>
          <xdr:row>7</xdr:row>
          <xdr:rowOff>19050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2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0</xdr:rowOff>
        </xdr:from>
        <xdr:to>
          <xdr:col>8</xdr:col>
          <xdr:colOff>190500</xdr:colOff>
          <xdr:row>12</xdr:row>
          <xdr:rowOff>19050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2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13</xdr:row>
          <xdr:rowOff>0</xdr:rowOff>
        </xdr:from>
        <xdr:to>
          <xdr:col>2</xdr:col>
          <xdr:colOff>133350</xdr:colOff>
          <xdr:row>14</xdr:row>
          <xdr:rowOff>19050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2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0</xdr:rowOff>
        </xdr:from>
        <xdr:to>
          <xdr:col>4</xdr:col>
          <xdr:colOff>190500</xdr:colOff>
          <xdr:row>14</xdr:row>
          <xdr:rowOff>19050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2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Collect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13</xdr:row>
          <xdr:rowOff>0</xdr:rowOff>
        </xdr:from>
        <xdr:to>
          <xdr:col>6</xdr:col>
          <xdr:colOff>152400</xdr:colOff>
          <xdr:row>14</xdr:row>
          <xdr:rowOff>19050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2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3rd Party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409575</xdr:colOff>
          <xdr:row>11</xdr:row>
          <xdr:rowOff>180975</xdr:rowOff>
        </xdr:from>
        <xdr:to>
          <xdr:col>14</xdr:col>
          <xdr:colOff>285750</xdr:colOff>
          <xdr:row>13</xdr:row>
          <xdr:rowOff>9525</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2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Master BOL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42</xdr:row>
          <xdr:rowOff>0</xdr:rowOff>
        </xdr:from>
        <xdr:to>
          <xdr:col>9</xdr:col>
          <xdr:colOff>171450</xdr:colOff>
          <xdr:row>43</xdr:row>
          <xdr:rowOff>19050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2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43</xdr:row>
          <xdr:rowOff>9525</xdr:rowOff>
        </xdr:from>
        <xdr:to>
          <xdr:col>9</xdr:col>
          <xdr:colOff>438150</xdr:colOff>
          <xdr:row>45</xdr:row>
          <xdr:rowOff>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2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Driver/pallet said to contain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45</xdr:row>
          <xdr:rowOff>0</xdr:rowOff>
        </xdr:from>
        <xdr:to>
          <xdr:col>9</xdr:col>
          <xdr:colOff>485775</xdr:colOff>
          <xdr:row>46</xdr:row>
          <xdr:rowOff>19050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2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Driver/Pieces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41</xdr:row>
          <xdr:rowOff>171450</xdr:rowOff>
        </xdr:from>
        <xdr:to>
          <xdr:col>7</xdr:col>
          <xdr:colOff>209550</xdr:colOff>
          <xdr:row>43</xdr:row>
          <xdr:rowOff>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2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42</xdr:row>
          <xdr:rowOff>180975</xdr:rowOff>
        </xdr:from>
        <xdr:to>
          <xdr:col>7</xdr:col>
          <xdr:colOff>209550</xdr:colOff>
          <xdr:row>44</xdr:row>
          <xdr:rowOff>9525</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2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19050</xdr:colOff>
          <xdr:row>6</xdr:row>
          <xdr:rowOff>0</xdr:rowOff>
        </xdr:from>
        <xdr:to>
          <xdr:col>8</xdr:col>
          <xdr:colOff>209550</xdr:colOff>
          <xdr:row>7</xdr:row>
          <xdr:rowOff>19050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0</xdr:rowOff>
        </xdr:from>
        <xdr:to>
          <xdr:col>8</xdr:col>
          <xdr:colOff>190500</xdr:colOff>
          <xdr:row>12</xdr:row>
          <xdr:rowOff>19050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13</xdr:row>
          <xdr:rowOff>0</xdr:rowOff>
        </xdr:from>
        <xdr:to>
          <xdr:col>2</xdr:col>
          <xdr:colOff>133350</xdr:colOff>
          <xdr:row>14</xdr:row>
          <xdr:rowOff>19050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400-00000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0</xdr:rowOff>
        </xdr:from>
        <xdr:to>
          <xdr:col>4</xdr:col>
          <xdr:colOff>190500</xdr:colOff>
          <xdr:row>14</xdr:row>
          <xdr:rowOff>19050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400-00000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Collect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13</xdr:row>
          <xdr:rowOff>0</xdr:rowOff>
        </xdr:from>
        <xdr:to>
          <xdr:col>6</xdr:col>
          <xdr:colOff>152400</xdr:colOff>
          <xdr:row>14</xdr:row>
          <xdr:rowOff>19050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4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3rd Party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409575</xdr:colOff>
          <xdr:row>11</xdr:row>
          <xdr:rowOff>180975</xdr:rowOff>
        </xdr:from>
        <xdr:to>
          <xdr:col>14</xdr:col>
          <xdr:colOff>285750</xdr:colOff>
          <xdr:row>13</xdr:row>
          <xdr:rowOff>9525</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4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Master BOL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42</xdr:row>
          <xdr:rowOff>0</xdr:rowOff>
        </xdr:from>
        <xdr:to>
          <xdr:col>9</xdr:col>
          <xdr:colOff>171450</xdr:colOff>
          <xdr:row>43</xdr:row>
          <xdr:rowOff>19050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400-00001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43</xdr:row>
          <xdr:rowOff>9525</xdr:rowOff>
        </xdr:from>
        <xdr:to>
          <xdr:col>9</xdr:col>
          <xdr:colOff>438150</xdr:colOff>
          <xdr:row>45</xdr:row>
          <xdr:rowOff>0</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400-00001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Driver/pallet said to contain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45</xdr:row>
          <xdr:rowOff>0</xdr:rowOff>
        </xdr:from>
        <xdr:to>
          <xdr:col>9</xdr:col>
          <xdr:colOff>485775</xdr:colOff>
          <xdr:row>46</xdr:row>
          <xdr:rowOff>19050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400-00001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Driver/Pieces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41</xdr:row>
          <xdr:rowOff>171450</xdr:rowOff>
        </xdr:from>
        <xdr:to>
          <xdr:col>7</xdr:col>
          <xdr:colOff>209550</xdr:colOff>
          <xdr:row>43</xdr:row>
          <xdr:rowOff>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4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42</xdr:row>
          <xdr:rowOff>180975</xdr:rowOff>
        </xdr:from>
        <xdr:to>
          <xdr:col>7</xdr:col>
          <xdr:colOff>209550</xdr:colOff>
          <xdr:row>44</xdr:row>
          <xdr:rowOff>9525</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4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19050</xdr:colOff>
          <xdr:row>6</xdr:row>
          <xdr:rowOff>0</xdr:rowOff>
        </xdr:from>
        <xdr:to>
          <xdr:col>8</xdr:col>
          <xdr:colOff>209550</xdr:colOff>
          <xdr:row>7</xdr:row>
          <xdr:rowOff>19050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6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0</xdr:rowOff>
        </xdr:from>
        <xdr:to>
          <xdr:col>8</xdr:col>
          <xdr:colOff>190500</xdr:colOff>
          <xdr:row>12</xdr:row>
          <xdr:rowOff>19050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6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FOB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13</xdr:row>
          <xdr:rowOff>0</xdr:rowOff>
        </xdr:from>
        <xdr:to>
          <xdr:col>2</xdr:col>
          <xdr:colOff>133350</xdr:colOff>
          <xdr:row>14</xdr:row>
          <xdr:rowOff>19050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6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0</xdr:rowOff>
        </xdr:from>
        <xdr:to>
          <xdr:col>4</xdr:col>
          <xdr:colOff>190500</xdr:colOff>
          <xdr:row>14</xdr:row>
          <xdr:rowOff>19050</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6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Collect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13</xdr:row>
          <xdr:rowOff>0</xdr:rowOff>
        </xdr:from>
        <xdr:to>
          <xdr:col>6</xdr:col>
          <xdr:colOff>152400</xdr:colOff>
          <xdr:row>14</xdr:row>
          <xdr:rowOff>19050</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6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3rd Party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409575</xdr:colOff>
          <xdr:row>11</xdr:row>
          <xdr:rowOff>180975</xdr:rowOff>
        </xdr:from>
        <xdr:to>
          <xdr:col>14</xdr:col>
          <xdr:colOff>285750</xdr:colOff>
          <xdr:row>13</xdr:row>
          <xdr:rowOff>9525</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6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Master BOL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42</xdr:row>
          <xdr:rowOff>0</xdr:rowOff>
        </xdr:from>
        <xdr:to>
          <xdr:col>9</xdr:col>
          <xdr:colOff>171450</xdr:colOff>
          <xdr:row>43</xdr:row>
          <xdr:rowOff>19050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6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43</xdr:row>
          <xdr:rowOff>9525</xdr:rowOff>
        </xdr:from>
        <xdr:to>
          <xdr:col>9</xdr:col>
          <xdr:colOff>438150</xdr:colOff>
          <xdr:row>45</xdr:row>
          <xdr:rowOff>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6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Driver/pallet said to contain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590550</xdr:colOff>
          <xdr:row>45</xdr:row>
          <xdr:rowOff>0</xdr:rowOff>
        </xdr:from>
        <xdr:to>
          <xdr:col>9</xdr:col>
          <xdr:colOff>485775</xdr:colOff>
          <xdr:row>46</xdr:row>
          <xdr:rowOff>19050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6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Driver/Pieces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41</xdr:row>
          <xdr:rowOff>171450</xdr:rowOff>
        </xdr:from>
        <xdr:to>
          <xdr:col>7</xdr:col>
          <xdr:colOff>209550</xdr:colOff>
          <xdr:row>43</xdr:row>
          <xdr:rowOff>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6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Shipper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42</xdr:row>
          <xdr:rowOff>180975</xdr:rowOff>
        </xdr:from>
        <xdr:to>
          <xdr:col>7</xdr:col>
          <xdr:colOff>209550</xdr:colOff>
          <xdr:row>44</xdr:row>
          <xdr:rowOff>9525</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6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By Driver</a:t>
              </a:r>
            </a:p>
          </xdr:txBody>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6.xml"/><Relationship Id="rId13" Type="http://schemas.openxmlformats.org/officeDocument/2006/relationships/ctrlProp" Target="../ctrlProps/ctrlProp21.xml"/><Relationship Id="rId3" Type="http://schemas.openxmlformats.org/officeDocument/2006/relationships/vmlDrawing" Target="../drawings/vmlDrawing2.vml"/><Relationship Id="rId7" Type="http://schemas.openxmlformats.org/officeDocument/2006/relationships/ctrlProp" Target="../ctrlProps/ctrlProp15.xml"/><Relationship Id="rId12" Type="http://schemas.openxmlformats.org/officeDocument/2006/relationships/ctrlProp" Target="../ctrlProps/ctrlProp20.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14.xml"/><Relationship Id="rId11" Type="http://schemas.openxmlformats.org/officeDocument/2006/relationships/ctrlProp" Target="../ctrlProps/ctrlProp19.xml"/><Relationship Id="rId5" Type="http://schemas.openxmlformats.org/officeDocument/2006/relationships/ctrlProp" Target="../ctrlProps/ctrlProp13.xml"/><Relationship Id="rId15" Type="http://schemas.openxmlformats.org/officeDocument/2006/relationships/comments" Target="../comments2.xml"/><Relationship Id="rId10" Type="http://schemas.openxmlformats.org/officeDocument/2006/relationships/ctrlProp" Target="../ctrlProps/ctrlProp18.xml"/><Relationship Id="rId4" Type="http://schemas.openxmlformats.org/officeDocument/2006/relationships/ctrlProp" Target="../ctrlProps/ctrlProp12.xml"/><Relationship Id="rId9" Type="http://schemas.openxmlformats.org/officeDocument/2006/relationships/ctrlProp" Target="../ctrlProps/ctrlProp17.xml"/><Relationship Id="rId14" Type="http://schemas.openxmlformats.org/officeDocument/2006/relationships/ctrlProp" Target="../ctrlProps/ctrlProp2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7.xml"/><Relationship Id="rId13" Type="http://schemas.openxmlformats.org/officeDocument/2006/relationships/ctrlProp" Target="../ctrlProps/ctrlProp32.xml"/><Relationship Id="rId3" Type="http://schemas.openxmlformats.org/officeDocument/2006/relationships/vmlDrawing" Target="../drawings/vmlDrawing3.vml"/><Relationship Id="rId7" Type="http://schemas.openxmlformats.org/officeDocument/2006/relationships/ctrlProp" Target="../ctrlProps/ctrlProp26.xml"/><Relationship Id="rId12" Type="http://schemas.openxmlformats.org/officeDocument/2006/relationships/ctrlProp" Target="../ctrlProps/ctrlProp31.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25.xml"/><Relationship Id="rId11" Type="http://schemas.openxmlformats.org/officeDocument/2006/relationships/ctrlProp" Target="../ctrlProps/ctrlProp30.xml"/><Relationship Id="rId5" Type="http://schemas.openxmlformats.org/officeDocument/2006/relationships/ctrlProp" Target="../ctrlProps/ctrlProp24.xml"/><Relationship Id="rId15" Type="http://schemas.openxmlformats.org/officeDocument/2006/relationships/comments" Target="../comments3.xml"/><Relationship Id="rId10" Type="http://schemas.openxmlformats.org/officeDocument/2006/relationships/ctrlProp" Target="../ctrlProps/ctrlProp29.xml"/><Relationship Id="rId4" Type="http://schemas.openxmlformats.org/officeDocument/2006/relationships/ctrlProp" Target="../ctrlProps/ctrlProp23.xml"/><Relationship Id="rId9" Type="http://schemas.openxmlformats.org/officeDocument/2006/relationships/ctrlProp" Target="../ctrlProps/ctrlProp28.xml"/><Relationship Id="rId14" Type="http://schemas.openxmlformats.org/officeDocument/2006/relationships/ctrlProp" Target="../ctrlProps/ctrlProp3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8.xml"/><Relationship Id="rId13" Type="http://schemas.openxmlformats.org/officeDocument/2006/relationships/ctrlProp" Target="../ctrlProps/ctrlProp43.xml"/><Relationship Id="rId3" Type="http://schemas.openxmlformats.org/officeDocument/2006/relationships/vmlDrawing" Target="../drawings/vmlDrawing4.vml"/><Relationship Id="rId7" Type="http://schemas.openxmlformats.org/officeDocument/2006/relationships/ctrlProp" Target="../ctrlProps/ctrlProp37.xml"/><Relationship Id="rId12" Type="http://schemas.openxmlformats.org/officeDocument/2006/relationships/ctrlProp" Target="../ctrlProps/ctrlProp42.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ctrlProp" Target="../ctrlProps/ctrlProp36.xml"/><Relationship Id="rId11" Type="http://schemas.openxmlformats.org/officeDocument/2006/relationships/ctrlProp" Target="../ctrlProps/ctrlProp41.xml"/><Relationship Id="rId5" Type="http://schemas.openxmlformats.org/officeDocument/2006/relationships/ctrlProp" Target="../ctrlProps/ctrlProp35.xml"/><Relationship Id="rId15" Type="http://schemas.openxmlformats.org/officeDocument/2006/relationships/comments" Target="../comments4.xml"/><Relationship Id="rId10" Type="http://schemas.openxmlformats.org/officeDocument/2006/relationships/ctrlProp" Target="../ctrlProps/ctrlProp40.xml"/><Relationship Id="rId4" Type="http://schemas.openxmlformats.org/officeDocument/2006/relationships/ctrlProp" Target="../ctrlProps/ctrlProp34.xml"/><Relationship Id="rId9" Type="http://schemas.openxmlformats.org/officeDocument/2006/relationships/ctrlProp" Target="../ctrlProps/ctrlProp39.xml"/><Relationship Id="rId14" Type="http://schemas.openxmlformats.org/officeDocument/2006/relationships/ctrlProp" Target="../ctrlProps/ctrlProp4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AF90-B91B-4C8B-8AD8-3481D13FD6E5}">
  <sheetPr>
    <pageSetUpPr fitToPage="1"/>
  </sheetPr>
  <dimension ref="A1:R49"/>
  <sheetViews>
    <sheetView showGridLines="0" zoomScale="145" zoomScaleNormal="145" workbookViewId="0">
      <selection activeCell="T16" sqref="T16"/>
    </sheetView>
  </sheetViews>
  <sheetFormatPr defaultRowHeight="15" x14ac:dyDescent="0.25"/>
  <cols>
    <col min="1" max="1" width="4.7109375" customWidth="1"/>
    <col min="2" max="2" width="5.5703125" customWidth="1"/>
    <col min="3" max="4" width="4.7109375" customWidth="1"/>
    <col min="5" max="5" width="5.28515625" bestFit="1" customWidth="1"/>
    <col min="6" max="6" width="4.7109375" customWidth="1"/>
    <col min="14" max="15" width="4.7109375" customWidth="1"/>
  </cols>
  <sheetData>
    <row r="1" spans="1:18" x14ac:dyDescent="0.25">
      <c r="A1" s="55" t="s">
        <v>0</v>
      </c>
      <c r="B1" s="55"/>
      <c r="C1" s="55"/>
      <c r="D1" s="55"/>
      <c r="E1" s="55"/>
      <c r="F1" s="1"/>
      <c r="G1" s="1"/>
      <c r="H1" s="1"/>
      <c r="I1" s="2"/>
      <c r="J1" s="2"/>
      <c r="K1" s="2"/>
      <c r="L1" s="2"/>
      <c r="M1" s="2"/>
      <c r="N1" s="2"/>
      <c r="O1" s="1"/>
    </row>
    <row r="2" spans="1:18" x14ac:dyDescent="0.25">
      <c r="A2" s="56" t="s">
        <v>1</v>
      </c>
      <c r="B2" s="56"/>
      <c r="C2" s="56"/>
      <c r="D2" s="56"/>
      <c r="E2" s="56"/>
      <c r="F2" s="2"/>
      <c r="G2" s="2"/>
      <c r="H2" s="3"/>
      <c r="I2" s="2" t="s">
        <v>2</v>
      </c>
      <c r="J2" s="57">
        <f ca="1">TODAY()</f>
        <v>45980</v>
      </c>
      <c r="K2" s="58"/>
      <c r="L2" s="2"/>
      <c r="M2" s="2"/>
      <c r="N2" s="2"/>
      <c r="O2" s="4"/>
    </row>
    <row r="3" spans="1:18" x14ac:dyDescent="0.25">
      <c r="A3" s="5" t="s">
        <v>3</v>
      </c>
      <c r="B3" s="1"/>
      <c r="C3" s="6"/>
      <c r="D3" s="6"/>
      <c r="E3" s="6"/>
      <c r="F3" s="6"/>
      <c r="G3" s="1"/>
      <c r="H3" s="7"/>
      <c r="I3" s="71" t="s">
        <v>4</v>
      </c>
      <c r="J3" s="60"/>
      <c r="K3" s="72" t="str">
        <f ca="1">"V_" &amp; TEXT(J2,"yyyymmdd") &amp; "_" &amp; K7</f>
        <v>V_20251119_832059</v>
      </c>
      <c r="L3" s="72"/>
      <c r="M3" s="72"/>
      <c r="N3" s="72"/>
      <c r="O3" s="73"/>
    </row>
    <row r="4" spans="1:18" x14ac:dyDescent="0.25">
      <c r="A4" s="68" t="s">
        <v>5</v>
      </c>
      <c r="B4" s="69"/>
      <c r="C4" s="69"/>
      <c r="D4" s="69"/>
      <c r="E4" s="69"/>
      <c r="F4" s="69"/>
      <c r="G4" s="1"/>
      <c r="H4" s="8"/>
      <c r="I4" s="1"/>
      <c r="J4" s="1"/>
      <c r="K4" s="1"/>
      <c r="L4" s="1"/>
      <c r="M4" s="1"/>
      <c r="N4" s="1"/>
      <c r="O4" s="8"/>
    </row>
    <row r="5" spans="1:18" x14ac:dyDescent="0.25">
      <c r="A5" s="68"/>
      <c r="B5" s="69"/>
      <c r="C5" s="69"/>
      <c r="D5" s="69"/>
      <c r="E5" s="69"/>
      <c r="F5" s="69"/>
      <c r="G5" s="1"/>
      <c r="H5" s="8"/>
      <c r="I5" s="2"/>
      <c r="J5" s="2"/>
      <c r="K5" s="2"/>
      <c r="L5" s="2"/>
      <c r="M5" s="2"/>
      <c r="N5" s="2"/>
      <c r="O5" s="3"/>
    </row>
    <row r="6" spans="1:18" x14ac:dyDescent="0.25">
      <c r="A6" s="68"/>
      <c r="B6" s="69"/>
      <c r="C6" s="69"/>
      <c r="D6" s="69"/>
      <c r="E6" s="69"/>
      <c r="F6" s="69"/>
      <c r="G6" s="1"/>
      <c r="H6" s="8"/>
      <c r="I6" s="63" t="s">
        <v>6</v>
      </c>
      <c r="J6" s="63"/>
      <c r="K6" s="62" t="s">
        <v>7</v>
      </c>
      <c r="L6" s="62"/>
      <c r="M6" s="1"/>
      <c r="N6" s="9"/>
      <c r="O6" s="8"/>
    </row>
    <row r="7" spans="1:18" x14ac:dyDescent="0.25">
      <c r="A7" s="10" t="s">
        <v>8</v>
      </c>
      <c r="B7" s="66"/>
      <c r="C7" s="66"/>
      <c r="D7" s="2"/>
      <c r="E7" s="2"/>
      <c r="F7" s="2"/>
      <c r="G7" s="2"/>
      <c r="H7" s="3"/>
      <c r="I7" s="63" t="s">
        <v>9</v>
      </c>
      <c r="J7" s="63"/>
      <c r="K7" s="70">
        <v>832059</v>
      </c>
      <c r="L7" s="70"/>
      <c r="M7" s="9"/>
      <c r="N7" s="9"/>
      <c r="O7" s="8"/>
    </row>
    <row r="8" spans="1:18" x14ac:dyDescent="0.25">
      <c r="A8" s="5" t="s">
        <v>10</v>
      </c>
      <c r="B8" s="11"/>
      <c r="C8" s="11"/>
      <c r="D8" s="11"/>
      <c r="E8" s="11"/>
      <c r="F8" s="67" t="s">
        <v>11</v>
      </c>
      <c r="G8" s="67"/>
      <c r="H8" s="8"/>
      <c r="I8" s="64" t="s">
        <v>12</v>
      </c>
      <c r="J8" s="65"/>
      <c r="K8" s="70">
        <v>22695890</v>
      </c>
      <c r="L8" s="70"/>
      <c r="M8" s="12"/>
      <c r="N8" s="12"/>
      <c r="O8" s="3"/>
    </row>
    <row r="9" spans="1:18" x14ac:dyDescent="0.25">
      <c r="A9" s="68" t="s">
        <v>13</v>
      </c>
      <c r="B9" s="69"/>
      <c r="C9" s="69"/>
      <c r="D9" s="69"/>
      <c r="E9" s="69"/>
      <c r="F9" s="69"/>
      <c r="G9" s="1"/>
      <c r="H9" s="8"/>
      <c r="I9" s="13" t="s">
        <v>14</v>
      </c>
      <c r="J9" s="32" t="s">
        <v>15</v>
      </c>
      <c r="K9" s="1"/>
      <c r="L9" s="1"/>
      <c r="M9" s="1"/>
      <c r="N9" s="1"/>
      <c r="O9" s="8"/>
    </row>
    <row r="10" spans="1:18" x14ac:dyDescent="0.25">
      <c r="A10" s="68"/>
      <c r="B10" s="69"/>
      <c r="C10" s="69"/>
      <c r="D10" s="69"/>
      <c r="E10" s="69"/>
      <c r="F10" s="69"/>
      <c r="G10" s="1"/>
      <c r="H10" s="8"/>
      <c r="I10" s="13" t="s">
        <v>16</v>
      </c>
      <c r="J10" s="1"/>
      <c r="K10" s="1"/>
      <c r="L10" s="1"/>
      <c r="M10" s="1"/>
      <c r="N10" s="1"/>
      <c r="O10" s="8"/>
    </row>
    <row r="11" spans="1:18" x14ac:dyDescent="0.25">
      <c r="A11" s="68"/>
      <c r="B11" s="69"/>
      <c r="C11" s="69"/>
      <c r="D11" s="69"/>
      <c r="E11" s="69"/>
      <c r="F11" s="69"/>
      <c r="G11" s="1"/>
      <c r="H11" s="8"/>
      <c r="I11" s="1"/>
      <c r="J11" s="1"/>
      <c r="K11" s="1"/>
      <c r="L11" s="1"/>
      <c r="M11" s="1"/>
      <c r="N11" s="1"/>
      <c r="O11" s="8"/>
    </row>
    <row r="12" spans="1:18" ht="15.75" thickBot="1" x14ac:dyDescent="0.3">
      <c r="A12" s="35" t="s">
        <v>17</v>
      </c>
      <c r="B12" s="61"/>
      <c r="C12" s="61"/>
      <c r="D12" s="1"/>
      <c r="E12" s="1"/>
      <c r="F12" s="1"/>
      <c r="G12" s="1"/>
      <c r="H12" s="8"/>
      <c r="I12" s="1"/>
      <c r="J12" s="1"/>
      <c r="K12" s="1"/>
      <c r="L12" s="1"/>
      <c r="M12" s="1"/>
      <c r="N12" s="1"/>
      <c r="O12" s="8"/>
    </row>
    <row r="13" spans="1:18" x14ac:dyDescent="0.25">
      <c r="A13" s="123" t="s">
        <v>18</v>
      </c>
      <c r="B13" s="124"/>
      <c r="C13" s="124"/>
      <c r="D13" s="124"/>
      <c r="E13" s="124"/>
      <c r="F13" s="124"/>
      <c r="G13" s="124"/>
      <c r="H13" s="125"/>
      <c r="I13" s="121" t="s">
        <v>19</v>
      </c>
      <c r="J13" s="122"/>
      <c r="K13" s="33"/>
      <c r="L13" s="33"/>
      <c r="M13" s="33"/>
      <c r="N13" s="33"/>
      <c r="O13" s="34"/>
    </row>
    <row r="14" spans="1:18" x14ac:dyDescent="0.25">
      <c r="A14" s="36"/>
      <c r="B14" s="2"/>
      <c r="C14" s="2"/>
      <c r="D14" s="2"/>
      <c r="E14" s="2"/>
      <c r="F14" s="2"/>
      <c r="G14" s="2"/>
      <c r="H14" s="37"/>
      <c r="I14" s="79" t="s">
        <v>20</v>
      </c>
      <c r="J14" s="80"/>
      <c r="K14" s="80"/>
      <c r="L14" s="80"/>
      <c r="M14" s="80"/>
      <c r="N14" s="80"/>
      <c r="O14" s="81"/>
    </row>
    <row r="15" spans="1:18" x14ac:dyDescent="0.25">
      <c r="A15" s="59" t="s">
        <v>21</v>
      </c>
      <c r="B15" s="60"/>
      <c r="C15" s="60"/>
      <c r="D15" s="60"/>
      <c r="E15" s="60"/>
      <c r="F15" s="60"/>
      <c r="G15" s="60"/>
      <c r="H15" s="38"/>
      <c r="I15" s="85" t="s">
        <v>22</v>
      </c>
      <c r="J15" s="86"/>
      <c r="K15" s="86"/>
      <c r="L15" s="86"/>
      <c r="M15" s="86"/>
      <c r="N15" s="86"/>
      <c r="O15" s="87"/>
    </row>
    <row r="16" spans="1:18" x14ac:dyDescent="0.25">
      <c r="A16" s="39"/>
      <c r="B16" s="1"/>
      <c r="C16" s="1"/>
      <c r="D16" s="1"/>
      <c r="E16" s="1"/>
      <c r="F16" s="1"/>
      <c r="G16" s="1"/>
      <c r="H16" s="38"/>
      <c r="I16" s="79" t="s">
        <v>23</v>
      </c>
      <c r="J16" s="80"/>
      <c r="K16" s="80"/>
      <c r="L16" s="80"/>
      <c r="M16" s="80"/>
      <c r="N16" s="80"/>
      <c r="O16" s="81"/>
      <c r="R16" t="s">
        <v>24</v>
      </c>
    </row>
    <row r="17" spans="1:15" x14ac:dyDescent="0.25">
      <c r="A17" s="39"/>
      <c r="B17" s="1"/>
      <c r="C17" s="1"/>
      <c r="D17" s="1"/>
      <c r="E17" s="1"/>
      <c r="F17" s="1"/>
      <c r="G17" s="1"/>
      <c r="H17" s="38"/>
      <c r="I17" s="79" t="s">
        <v>25</v>
      </c>
      <c r="J17" s="80"/>
      <c r="K17" s="80"/>
      <c r="L17" s="80"/>
      <c r="M17" s="80"/>
      <c r="N17" s="80"/>
      <c r="O17" s="81"/>
    </row>
    <row r="18" spans="1:15" ht="15.75" thickBot="1" x14ac:dyDescent="0.3">
      <c r="A18" s="40"/>
      <c r="B18" s="16"/>
      <c r="C18" s="16"/>
      <c r="D18" s="16"/>
      <c r="E18" s="16"/>
      <c r="F18" s="16"/>
      <c r="G18" s="16"/>
      <c r="H18" s="41"/>
      <c r="I18" s="82" t="s">
        <v>26</v>
      </c>
      <c r="J18" s="83"/>
      <c r="K18" s="83"/>
      <c r="L18" s="83"/>
      <c r="M18" s="83"/>
      <c r="N18" s="83"/>
      <c r="O18" s="84"/>
    </row>
    <row r="19" spans="1:15" x14ac:dyDescent="0.25">
      <c r="A19" s="74" t="s">
        <v>27</v>
      </c>
      <c r="B19" s="75"/>
      <c r="C19" s="76" t="s">
        <v>28</v>
      </c>
      <c r="D19" s="75"/>
      <c r="E19" s="77"/>
      <c r="F19" s="78"/>
      <c r="G19" s="129" t="s">
        <v>29</v>
      </c>
      <c r="H19" s="130"/>
      <c r="I19" s="119"/>
      <c r="J19" s="119"/>
      <c r="K19" s="119"/>
      <c r="L19" s="119"/>
      <c r="M19" s="120"/>
      <c r="N19" s="119" t="s">
        <v>30</v>
      </c>
      <c r="O19" s="120"/>
    </row>
    <row r="20" spans="1:15" ht="33.75" customHeight="1" x14ac:dyDescent="0.25">
      <c r="A20" s="17" t="s">
        <v>31</v>
      </c>
      <c r="B20" s="18" t="s">
        <v>32</v>
      </c>
      <c r="C20" s="17" t="s">
        <v>31</v>
      </c>
      <c r="D20" s="18" t="s">
        <v>32</v>
      </c>
      <c r="E20" s="19" t="s">
        <v>33</v>
      </c>
      <c r="F20" s="20" t="s">
        <v>34</v>
      </c>
      <c r="G20" s="126" t="s">
        <v>35</v>
      </c>
      <c r="H20" s="127"/>
      <c r="I20" s="127"/>
      <c r="J20" s="127"/>
      <c r="K20" s="127"/>
      <c r="L20" s="127"/>
      <c r="M20" s="128"/>
      <c r="N20" s="21" t="s">
        <v>36</v>
      </c>
      <c r="O20" s="22" t="s">
        <v>37</v>
      </c>
    </row>
    <row r="21" spans="1:15" x14ac:dyDescent="0.25">
      <c r="A21" s="30">
        <v>32</v>
      </c>
      <c r="B21" s="24" t="s">
        <v>38</v>
      </c>
      <c r="C21" s="23">
        <f>20*A21</f>
        <v>640</v>
      </c>
      <c r="D21" s="24" t="s">
        <v>39</v>
      </c>
      <c r="E21" s="25">
        <f>SUM((A21*50),(C21*37))</f>
        <v>25280</v>
      </c>
      <c r="F21" s="24"/>
      <c r="G21" s="88" t="s">
        <v>40</v>
      </c>
      <c r="H21" s="89"/>
      <c r="I21" s="89"/>
      <c r="J21" s="89"/>
      <c r="K21" s="89"/>
      <c r="L21" s="89"/>
      <c r="M21" s="90"/>
      <c r="N21" s="23"/>
      <c r="O21" s="24"/>
    </row>
    <row r="22" spans="1:15" x14ac:dyDescent="0.25">
      <c r="A22" s="23"/>
      <c r="B22" s="24"/>
      <c r="C22" s="23"/>
      <c r="D22" s="24"/>
      <c r="E22" s="23"/>
      <c r="F22" s="24"/>
      <c r="G22" s="88"/>
      <c r="H22" s="89"/>
      <c r="I22" s="89"/>
      <c r="J22" s="89"/>
      <c r="K22" s="89"/>
      <c r="L22" s="89"/>
      <c r="M22" s="90"/>
      <c r="N22" s="23"/>
      <c r="O22" s="24"/>
    </row>
    <row r="23" spans="1:15" x14ac:dyDescent="0.25">
      <c r="A23" s="23"/>
      <c r="B23" s="24"/>
      <c r="C23" s="23"/>
      <c r="D23" s="24"/>
      <c r="E23" s="23"/>
      <c r="F23" s="24"/>
      <c r="G23" s="88"/>
      <c r="H23" s="89"/>
      <c r="I23" s="89"/>
      <c r="J23" s="89"/>
      <c r="K23" s="89"/>
      <c r="L23" s="89"/>
      <c r="M23" s="90"/>
      <c r="N23" s="23"/>
      <c r="O23" s="24"/>
    </row>
    <row r="24" spans="1:15" x14ac:dyDescent="0.25">
      <c r="A24" s="23"/>
      <c r="B24" s="24"/>
      <c r="C24" s="23"/>
      <c r="D24" s="24"/>
      <c r="E24" s="23"/>
      <c r="F24" s="24"/>
      <c r="G24" s="88"/>
      <c r="H24" s="89"/>
      <c r="I24" s="89"/>
      <c r="J24" s="89"/>
      <c r="K24" s="89"/>
      <c r="L24" s="89"/>
      <c r="M24" s="90"/>
      <c r="N24" s="23"/>
      <c r="O24" s="24"/>
    </row>
    <row r="25" spans="1:15" x14ac:dyDescent="0.25">
      <c r="A25" s="23"/>
      <c r="B25" s="24"/>
      <c r="C25" s="23"/>
      <c r="D25" s="24"/>
      <c r="E25" s="23"/>
      <c r="F25" s="24"/>
      <c r="G25" s="88"/>
      <c r="H25" s="89"/>
      <c r="I25" s="89"/>
      <c r="J25" s="89"/>
      <c r="K25" s="89"/>
      <c r="L25" s="89"/>
      <c r="M25" s="90"/>
      <c r="N25" s="23"/>
      <c r="O25" s="24"/>
    </row>
    <row r="26" spans="1:15" x14ac:dyDescent="0.25">
      <c r="A26" s="23"/>
      <c r="B26" s="24"/>
      <c r="C26" s="23"/>
      <c r="D26" s="24"/>
      <c r="E26" s="23"/>
      <c r="F26" s="24"/>
      <c r="G26" s="88"/>
      <c r="H26" s="89"/>
      <c r="I26" s="89"/>
      <c r="J26" s="89"/>
      <c r="K26" s="89"/>
      <c r="L26" s="89"/>
      <c r="M26" s="90"/>
      <c r="N26" s="23"/>
      <c r="O26" s="24"/>
    </row>
    <row r="27" spans="1:15" ht="15.75" thickBot="1" x14ac:dyDescent="0.3">
      <c r="A27" s="26">
        <f>SUM(A21:A26)</f>
        <v>32</v>
      </c>
      <c r="B27" s="27"/>
      <c r="C27" s="26">
        <f>SUM(C21:C26)</f>
        <v>640</v>
      </c>
      <c r="D27" s="27"/>
      <c r="E27" s="26">
        <f>SUM(E21:E26)</f>
        <v>25280</v>
      </c>
      <c r="F27" s="27"/>
      <c r="G27" s="108" t="s">
        <v>41</v>
      </c>
      <c r="H27" s="109"/>
      <c r="I27" s="109"/>
      <c r="J27" s="109"/>
      <c r="K27" s="109"/>
      <c r="L27" s="109"/>
      <c r="M27" s="110"/>
      <c r="N27" s="27"/>
      <c r="O27" s="27"/>
    </row>
    <row r="28" spans="1:15" ht="15" customHeight="1" x14ac:dyDescent="0.25">
      <c r="A28" s="103" t="s">
        <v>42</v>
      </c>
      <c r="B28" s="104"/>
      <c r="C28" s="104"/>
      <c r="D28" s="104"/>
      <c r="E28" s="104"/>
      <c r="F28" s="104"/>
      <c r="G28" s="104"/>
      <c r="H28" s="105"/>
      <c r="I28" s="103" t="s">
        <v>43</v>
      </c>
      <c r="J28" s="104"/>
      <c r="K28" s="104"/>
      <c r="L28" s="104"/>
      <c r="M28" s="104"/>
      <c r="N28" s="104"/>
      <c r="O28" s="105"/>
    </row>
    <row r="29" spans="1:15" x14ac:dyDescent="0.25">
      <c r="A29" s="94"/>
      <c r="B29" s="95"/>
      <c r="C29" s="95"/>
      <c r="D29" s="95"/>
      <c r="E29" s="95"/>
      <c r="F29" s="95"/>
      <c r="G29" s="95"/>
      <c r="H29" s="96"/>
      <c r="I29" s="94"/>
      <c r="J29" s="95"/>
      <c r="K29" s="95"/>
      <c r="L29" s="95"/>
      <c r="M29" s="95"/>
      <c r="N29" s="95"/>
      <c r="O29" s="96"/>
    </row>
    <row r="30" spans="1:15" x14ac:dyDescent="0.25">
      <c r="A30" s="94"/>
      <c r="B30" s="95"/>
      <c r="C30" s="95"/>
      <c r="D30" s="95"/>
      <c r="E30" s="95"/>
      <c r="F30" s="95"/>
      <c r="G30" s="95"/>
      <c r="H30" s="96"/>
      <c r="I30" s="1"/>
      <c r="J30" s="1"/>
      <c r="K30" s="1"/>
      <c r="L30" s="1"/>
      <c r="M30" s="1"/>
      <c r="N30" s="1"/>
      <c r="O30" s="8"/>
    </row>
    <row r="31" spans="1:15" x14ac:dyDescent="0.25">
      <c r="A31" s="94" t="s">
        <v>44</v>
      </c>
      <c r="B31" s="95"/>
      <c r="C31" s="95"/>
      <c r="D31" s="95"/>
      <c r="E31" s="95"/>
      <c r="F31" s="95"/>
      <c r="G31" s="95"/>
      <c r="H31" s="96"/>
      <c r="I31" s="14"/>
      <c r="J31" s="2"/>
      <c r="K31" s="2"/>
      <c r="L31" s="1"/>
      <c r="M31" s="1"/>
      <c r="N31" s="1"/>
      <c r="O31" s="8"/>
    </row>
    <row r="32" spans="1:15" x14ac:dyDescent="0.25">
      <c r="A32" s="94"/>
      <c r="B32" s="95"/>
      <c r="C32" s="95"/>
      <c r="D32" s="95"/>
      <c r="E32" s="95"/>
      <c r="F32" s="95"/>
      <c r="G32" s="95"/>
      <c r="H32" s="96"/>
      <c r="I32" s="106" t="s">
        <v>45</v>
      </c>
      <c r="J32" s="107"/>
      <c r="K32" s="1"/>
      <c r="L32" s="1"/>
      <c r="M32" s="1"/>
      <c r="N32" s="1"/>
      <c r="O32" s="8"/>
    </row>
    <row r="33" spans="1:15" x14ac:dyDescent="0.25">
      <c r="A33" s="14"/>
      <c r="B33" s="2"/>
      <c r="C33" s="2"/>
      <c r="D33" s="2"/>
      <c r="E33" s="1" t="s">
        <v>46</v>
      </c>
      <c r="F33" s="2"/>
      <c r="G33" s="2"/>
      <c r="H33" s="8"/>
      <c r="I33" s="1"/>
      <c r="J33" s="1"/>
      <c r="K33" s="1"/>
      <c r="L33" s="1"/>
      <c r="M33" s="1"/>
      <c r="N33" s="1"/>
      <c r="O33" s="8"/>
    </row>
    <row r="34" spans="1:15" x14ac:dyDescent="0.25">
      <c r="A34" s="31"/>
      <c r="B34" s="2"/>
      <c r="C34" s="2"/>
      <c r="D34" s="2"/>
      <c r="E34" s="2"/>
      <c r="F34" s="2"/>
      <c r="G34" s="2"/>
      <c r="H34" s="3"/>
      <c r="I34" s="2"/>
      <c r="J34" s="2"/>
      <c r="K34" s="2"/>
      <c r="L34" s="2"/>
      <c r="M34" s="2"/>
      <c r="N34" s="2"/>
      <c r="O34" s="3"/>
    </row>
    <row r="35" spans="1:15" x14ac:dyDescent="0.25">
      <c r="A35" s="100" t="s">
        <v>47</v>
      </c>
      <c r="B35" s="101"/>
      <c r="C35" s="101"/>
      <c r="D35" s="101"/>
      <c r="E35" s="101"/>
      <c r="F35" s="101"/>
      <c r="G35" s="101"/>
      <c r="H35" s="101"/>
      <c r="I35" s="101"/>
      <c r="J35" s="101"/>
      <c r="K35" s="101"/>
      <c r="L35" s="101"/>
      <c r="M35" s="101"/>
      <c r="N35" s="101"/>
      <c r="O35" s="102"/>
    </row>
    <row r="36" spans="1:15" x14ac:dyDescent="0.25">
      <c r="A36" s="91" t="s">
        <v>48</v>
      </c>
      <c r="B36" s="92"/>
      <c r="C36" s="92"/>
      <c r="D36" s="92"/>
      <c r="E36" s="92"/>
      <c r="F36" s="92"/>
      <c r="G36" s="92"/>
      <c r="H36" s="92"/>
      <c r="I36" s="92"/>
      <c r="J36" s="92"/>
      <c r="K36" s="92"/>
      <c r="L36" s="92"/>
      <c r="M36" s="92"/>
      <c r="N36" s="92"/>
      <c r="O36" s="93"/>
    </row>
    <row r="37" spans="1:15" x14ac:dyDescent="0.25">
      <c r="A37" s="94"/>
      <c r="B37" s="95"/>
      <c r="C37" s="95"/>
      <c r="D37" s="95"/>
      <c r="E37" s="95"/>
      <c r="F37" s="95"/>
      <c r="G37" s="95"/>
      <c r="H37" s="95"/>
      <c r="I37" s="95"/>
      <c r="J37" s="95"/>
      <c r="K37" s="95"/>
      <c r="L37" s="95"/>
      <c r="M37" s="95"/>
      <c r="N37" s="95"/>
      <c r="O37" s="96"/>
    </row>
    <row r="38" spans="1:15" x14ac:dyDescent="0.25">
      <c r="A38" s="94"/>
      <c r="B38" s="95"/>
      <c r="C38" s="95"/>
      <c r="D38" s="95"/>
      <c r="E38" s="95"/>
      <c r="F38" s="95"/>
      <c r="G38" s="95"/>
      <c r="H38" s="95"/>
      <c r="I38" s="95"/>
      <c r="J38" s="95"/>
      <c r="K38" s="95"/>
      <c r="L38" s="95"/>
      <c r="M38" s="95"/>
      <c r="N38" s="95"/>
      <c r="O38" s="96"/>
    </row>
    <row r="39" spans="1:15" ht="15" customHeight="1" x14ac:dyDescent="0.25">
      <c r="A39" s="94"/>
      <c r="B39" s="95"/>
      <c r="C39" s="95"/>
      <c r="D39" s="95"/>
      <c r="E39" s="95"/>
      <c r="F39" s="95"/>
      <c r="G39" s="95"/>
      <c r="H39" s="95"/>
      <c r="I39" s="95"/>
      <c r="J39" s="95"/>
      <c r="K39" s="95"/>
      <c r="L39" s="95"/>
      <c r="M39" s="95"/>
      <c r="N39" s="95"/>
      <c r="O39" s="96"/>
    </row>
    <row r="40" spans="1:15" ht="16.5" customHeight="1" x14ac:dyDescent="0.25">
      <c r="A40" s="94"/>
      <c r="B40" s="95"/>
      <c r="C40" s="95"/>
      <c r="D40" s="95"/>
      <c r="E40" s="95"/>
      <c r="F40" s="95"/>
      <c r="G40" s="95"/>
      <c r="H40" s="95"/>
      <c r="I40" s="95"/>
      <c r="J40" s="95"/>
      <c r="K40" s="95"/>
      <c r="L40" s="95"/>
      <c r="M40" s="95"/>
      <c r="N40" s="95"/>
      <c r="O40" s="96"/>
    </row>
    <row r="41" spans="1:15" x14ac:dyDescent="0.25">
      <c r="A41" s="97"/>
      <c r="B41" s="98"/>
      <c r="C41" s="98"/>
      <c r="D41" s="98"/>
      <c r="E41" s="98"/>
      <c r="F41" s="98"/>
      <c r="G41" s="98"/>
      <c r="H41" s="98"/>
      <c r="I41" s="98"/>
      <c r="J41" s="98"/>
      <c r="K41" s="98"/>
      <c r="L41" s="98"/>
      <c r="M41" s="98"/>
      <c r="N41" s="98"/>
      <c r="O41" s="99"/>
    </row>
    <row r="42" spans="1:15" ht="15" customHeight="1" x14ac:dyDescent="0.25">
      <c r="A42" s="94" t="s">
        <v>49</v>
      </c>
      <c r="B42" s="95"/>
      <c r="C42" s="95"/>
      <c r="D42" s="95"/>
      <c r="E42" s="95"/>
      <c r="F42" s="96"/>
      <c r="G42" s="117" t="s">
        <v>50</v>
      </c>
      <c r="H42" s="118"/>
      <c r="I42" s="28" t="s">
        <v>51</v>
      </c>
      <c r="J42" s="8"/>
      <c r="K42" s="95" t="s">
        <v>52</v>
      </c>
      <c r="L42" s="95"/>
      <c r="M42" s="95"/>
      <c r="N42" s="95"/>
      <c r="O42" s="96"/>
    </row>
    <row r="43" spans="1:15" x14ac:dyDescent="0.25">
      <c r="A43" s="94"/>
      <c r="B43" s="95"/>
      <c r="C43" s="95"/>
      <c r="D43" s="95"/>
      <c r="E43" s="95"/>
      <c r="F43" s="96"/>
      <c r="G43" s="1"/>
      <c r="H43" s="1"/>
      <c r="I43" s="1"/>
      <c r="J43" s="8"/>
      <c r="K43" s="95"/>
      <c r="L43" s="95"/>
      <c r="M43" s="95"/>
      <c r="N43" s="95"/>
      <c r="O43" s="96"/>
    </row>
    <row r="44" spans="1:15" x14ac:dyDescent="0.25">
      <c r="A44" s="94"/>
      <c r="B44" s="95"/>
      <c r="C44" s="95"/>
      <c r="D44" s="95"/>
      <c r="E44" s="95"/>
      <c r="F44" s="96"/>
      <c r="G44" s="1"/>
      <c r="H44" s="1"/>
      <c r="I44" s="1"/>
      <c r="J44" s="8"/>
      <c r="K44" s="95"/>
      <c r="L44" s="95"/>
      <c r="M44" s="95"/>
      <c r="N44" s="95"/>
      <c r="O44" s="96"/>
    </row>
    <row r="45" spans="1:15" x14ac:dyDescent="0.25">
      <c r="A45" s="94"/>
      <c r="B45" s="95"/>
      <c r="C45" s="95"/>
      <c r="D45" s="95"/>
      <c r="E45" s="95"/>
      <c r="F45" s="96"/>
      <c r="G45" s="1"/>
      <c r="H45" s="1"/>
      <c r="I45" s="1"/>
      <c r="J45" s="8"/>
      <c r="K45" s="95"/>
      <c r="L45" s="95"/>
      <c r="M45" s="95"/>
      <c r="N45" s="95"/>
      <c r="O45" s="96"/>
    </row>
    <row r="46" spans="1:15" x14ac:dyDescent="0.25">
      <c r="A46" s="94"/>
      <c r="B46" s="95"/>
      <c r="C46" s="95"/>
      <c r="D46" s="95"/>
      <c r="E46" s="95"/>
      <c r="F46" s="96"/>
      <c r="G46" s="1"/>
      <c r="H46" s="1"/>
      <c r="I46" s="1"/>
      <c r="J46" s="8"/>
      <c r="K46" s="95"/>
      <c r="L46" s="95"/>
      <c r="M46" s="95"/>
      <c r="N46" s="95"/>
      <c r="O46" s="96"/>
    </row>
    <row r="47" spans="1:15" x14ac:dyDescent="0.25">
      <c r="A47" s="15"/>
      <c r="B47" s="1"/>
      <c r="C47" s="1"/>
      <c r="D47" s="1"/>
      <c r="E47" s="1"/>
      <c r="F47" s="8"/>
      <c r="G47" s="1"/>
      <c r="H47" s="1"/>
      <c r="I47" s="1"/>
      <c r="J47" s="8"/>
      <c r="K47" s="95"/>
      <c r="L47" s="95"/>
      <c r="M47" s="95"/>
      <c r="N47" s="95"/>
      <c r="O47" s="96"/>
    </row>
    <row r="48" spans="1:15" x14ac:dyDescent="0.25">
      <c r="A48" s="15"/>
      <c r="B48" s="1"/>
      <c r="C48" s="1"/>
      <c r="D48" s="1"/>
      <c r="E48" s="116">
        <f ca="1">J2</f>
        <v>45980</v>
      </c>
      <c r="F48" s="115"/>
      <c r="G48" s="1"/>
      <c r="H48" s="1"/>
      <c r="I48" s="1"/>
      <c r="J48" s="8"/>
      <c r="K48" s="1"/>
      <c r="L48" s="1"/>
      <c r="M48" s="1"/>
      <c r="N48" s="114"/>
      <c r="O48" s="115"/>
    </row>
    <row r="49" spans="1:15" x14ac:dyDescent="0.25">
      <c r="A49" s="113" t="s">
        <v>45</v>
      </c>
      <c r="B49" s="111"/>
      <c r="C49" s="111"/>
      <c r="D49" s="2"/>
      <c r="E49" s="29" t="s">
        <v>53</v>
      </c>
      <c r="F49" s="4"/>
      <c r="G49" s="2"/>
      <c r="H49" s="2"/>
      <c r="I49" s="2"/>
      <c r="J49" s="3"/>
      <c r="K49" s="111" t="s">
        <v>54</v>
      </c>
      <c r="L49" s="111"/>
      <c r="M49" s="2"/>
      <c r="N49" s="111" t="s">
        <v>55</v>
      </c>
      <c r="O49" s="112"/>
    </row>
  </sheetData>
  <mergeCells count="51">
    <mergeCell ref="N19:O19"/>
    <mergeCell ref="G21:M21"/>
    <mergeCell ref="G22:M22"/>
    <mergeCell ref="G23:M23"/>
    <mergeCell ref="I13:J13"/>
    <mergeCell ref="A13:H13"/>
    <mergeCell ref="I14:O14"/>
    <mergeCell ref="I16:O16"/>
    <mergeCell ref="G20:M20"/>
    <mergeCell ref="G19:M19"/>
    <mergeCell ref="K49:L49"/>
    <mergeCell ref="N49:O49"/>
    <mergeCell ref="A42:F46"/>
    <mergeCell ref="K42:O47"/>
    <mergeCell ref="A49:C49"/>
    <mergeCell ref="N48:O48"/>
    <mergeCell ref="E48:F48"/>
    <mergeCell ref="G42:H42"/>
    <mergeCell ref="G24:M24"/>
    <mergeCell ref="A36:O41"/>
    <mergeCell ref="A35:O35"/>
    <mergeCell ref="A31:H32"/>
    <mergeCell ref="I28:O29"/>
    <mergeCell ref="I32:J32"/>
    <mergeCell ref="A28:H30"/>
    <mergeCell ref="G26:M26"/>
    <mergeCell ref="G27:M27"/>
    <mergeCell ref="G25:M25"/>
    <mergeCell ref="K3:O3"/>
    <mergeCell ref="A19:B19"/>
    <mergeCell ref="C19:D19"/>
    <mergeCell ref="E19:F19"/>
    <mergeCell ref="I17:O17"/>
    <mergeCell ref="I18:O18"/>
    <mergeCell ref="I15:O15"/>
    <mergeCell ref="A1:E1"/>
    <mergeCell ref="A2:E2"/>
    <mergeCell ref="J2:K2"/>
    <mergeCell ref="A15:G15"/>
    <mergeCell ref="B12:C12"/>
    <mergeCell ref="K6:L6"/>
    <mergeCell ref="I6:J6"/>
    <mergeCell ref="I7:J7"/>
    <mergeCell ref="I8:J8"/>
    <mergeCell ref="B7:C7"/>
    <mergeCell ref="F8:G8"/>
    <mergeCell ref="A4:F6"/>
    <mergeCell ref="A9:F11"/>
    <mergeCell ref="K7:L7"/>
    <mergeCell ref="K8:L8"/>
    <mergeCell ref="I3:J3"/>
  </mergeCells>
  <dataValidations count="1">
    <dataValidation type="list" allowBlank="1" showInputMessage="1" showErrorMessage="1" sqref="A4:F6 B8 K6:L6 A9:F11" xr:uid="{82245705-39DD-4DB5-8B4A-FC5E7728CD7F}">
      <formula1>#REF!</formula1>
    </dataValidation>
  </dataValidations>
  <printOptions horizontalCentered="1"/>
  <pageMargins left="0.11811023622047245" right="0.11811023622047245" top="0.39370078740157483" bottom="0.3937007874015748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19050</xdr:colOff>
                    <xdr:row>6</xdr:row>
                    <xdr:rowOff>0</xdr:rowOff>
                  </from>
                  <to>
                    <xdr:col>8</xdr:col>
                    <xdr:colOff>209550</xdr:colOff>
                    <xdr:row>7</xdr:row>
                    <xdr:rowOff>19050</xdr:rowOff>
                  </to>
                </anchor>
              </controlPr>
            </control>
          </mc:Choice>
        </mc:AlternateContent>
        <mc:AlternateContent xmlns:mc="http://schemas.openxmlformats.org/markup-compatibility/2006">
          <mc:Choice Requires="x14">
            <control shapeId="1030" r:id="rId5" name="Check Box 6">
              <controlPr defaultSize="0" autoFill="0" autoLine="0" autoPict="0">
                <anchor moveWithCells="1">
                  <from>
                    <xdr:col>7</xdr:col>
                    <xdr:colOff>0</xdr:colOff>
                    <xdr:row>11</xdr:row>
                    <xdr:rowOff>0</xdr:rowOff>
                  </from>
                  <to>
                    <xdr:col>8</xdr:col>
                    <xdr:colOff>190500</xdr:colOff>
                    <xdr:row>12</xdr:row>
                    <xdr:rowOff>9525</xdr:rowOff>
                  </to>
                </anchor>
              </controlPr>
            </control>
          </mc:Choice>
        </mc:AlternateContent>
        <mc:AlternateContent xmlns:mc="http://schemas.openxmlformats.org/markup-compatibility/2006">
          <mc:Choice Requires="x14">
            <control shapeId="1031" r:id="rId6" name="Check Box 7">
              <controlPr defaultSize="0" autoFill="0" autoLine="0" autoPict="0">
                <anchor moveWithCells="1">
                  <from>
                    <xdr:col>0</xdr:col>
                    <xdr:colOff>19050</xdr:colOff>
                    <xdr:row>13</xdr:row>
                    <xdr:rowOff>0</xdr:rowOff>
                  </from>
                  <to>
                    <xdr:col>2</xdr:col>
                    <xdr:colOff>133350</xdr:colOff>
                    <xdr:row>14</xdr:row>
                    <xdr:rowOff>19050</xdr:rowOff>
                  </to>
                </anchor>
              </controlPr>
            </control>
          </mc:Choice>
        </mc:AlternateContent>
        <mc:AlternateContent xmlns:mc="http://schemas.openxmlformats.org/markup-compatibility/2006">
          <mc:Choice Requires="x14">
            <control shapeId="1032" r:id="rId7" name="Check Box 8">
              <controlPr defaultSize="0" autoFill="0" autoLine="0" autoPict="0">
                <anchor moveWithCells="1">
                  <from>
                    <xdr:col>2</xdr:col>
                    <xdr:colOff>19050</xdr:colOff>
                    <xdr:row>13</xdr:row>
                    <xdr:rowOff>0</xdr:rowOff>
                  </from>
                  <to>
                    <xdr:col>4</xdr:col>
                    <xdr:colOff>190500</xdr:colOff>
                    <xdr:row>14</xdr:row>
                    <xdr:rowOff>19050</xdr:rowOff>
                  </to>
                </anchor>
              </controlPr>
            </control>
          </mc:Choice>
        </mc:AlternateContent>
        <mc:AlternateContent xmlns:mc="http://schemas.openxmlformats.org/markup-compatibility/2006">
          <mc:Choice Requires="x14">
            <control shapeId="1033" r:id="rId8" name="Check Box 9">
              <controlPr defaultSize="0" autoFill="0" autoLine="0" autoPict="0">
                <anchor moveWithCells="1">
                  <from>
                    <xdr:col>4</xdr:col>
                    <xdr:colOff>19050</xdr:colOff>
                    <xdr:row>13</xdr:row>
                    <xdr:rowOff>0</xdr:rowOff>
                  </from>
                  <to>
                    <xdr:col>6</xdr:col>
                    <xdr:colOff>152400</xdr:colOff>
                    <xdr:row>14</xdr:row>
                    <xdr:rowOff>19050</xdr:rowOff>
                  </to>
                </anchor>
              </controlPr>
            </control>
          </mc:Choice>
        </mc:AlternateContent>
        <mc:AlternateContent xmlns:mc="http://schemas.openxmlformats.org/markup-compatibility/2006">
          <mc:Choice Requires="x14">
            <control shapeId="1037" r:id="rId9" name="Check Box 13">
              <controlPr defaultSize="0" autoFill="0" autoLine="0" autoPict="0">
                <anchor moveWithCells="1">
                  <from>
                    <xdr:col>12</xdr:col>
                    <xdr:colOff>409575</xdr:colOff>
                    <xdr:row>11</xdr:row>
                    <xdr:rowOff>180975</xdr:rowOff>
                  </from>
                  <to>
                    <xdr:col>14</xdr:col>
                    <xdr:colOff>285750</xdr:colOff>
                    <xdr:row>13</xdr:row>
                    <xdr:rowOff>9525</xdr:rowOff>
                  </to>
                </anchor>
              </controlPr>
            </control>
          </mc:Choice>
        </mc:AlternateContent>
        <mc:AlternateContent xmlns:mc="http://schemas.openxmlformats.org/markup-compatibility/2006">
          <mc:Choice Requires="x14">
            <control shapeId="1042" r:id="rId10" name="Check Box 18">
              <controlPr defaultSize="0" autoFill="0" autoLine="0" autoPict="0">
                <anchor moveWithCells="1">
                  <from>
                    <xdr:col>7</xdr:col>
                    <xdr:colOff>590550</xdr:colOff>
                    <xdr:row>42</xdr:row>
                    <xdr:rowOff>0</xdr:rowOff>
                  </from>
                  <to>
                    <xdr:col>9</xdr:col>
                    <xdr:colOff>171450</xdr:colOff>
                    <xdr:row>43</xdr:row>
                    <xdr:rowOff>19050</xdr:rowOff>
                  </to>
                </anchor>
              </controlPr>
            </control>
          </mc:Choice>
        </mc:AlternateContent>
        <mc:AlternateContent xmlns:mc="http://schemas.openxmlformats.org/markup-compatibility/2006">
          <mc:Choice Requires="x14">
            <control shapeId="1043" r:id="rId11" name="Check Box 19">
              <controlPr defaultSize="0" autoFill="0" autoLine="0" autoPict="0">
                <anchor moveWithCells="1">
                  <from>
                    <xdr:col>7</xdr:col>
                    <xdr:colOff>590550</xdr:colOff>
                    <xdr:row>43</xdr:row>
                    <xdr:rowOff>9525</xdr:rowOff>
                  </from>
                  <to>
                    <xdr:col>9</xdr:col>
                    <xdr:colOff>438150</xdr:colOff>
                    <xdr:row>45</xdr:row>
                    <xdr:rowOff>0</xdr:rowOff>
                  </to>
                </anchor>
              </controlPr>
            </control>
          </mc:Choice>
        </mc:AlternateContent>
        <mc:AlternateContent xmlns:mc="http://schemas.openxmlformats.org/markup-compatibility/2006">
          <mc:Choice Requires="x14">
            <control shapeId="1044" r:id="rId12" name="Check Box 20">
              <controlPr defaultSize="0" autoFill="0" autoLine="0" autoPict="0">
                <anchor moveWithCells="1">
                  <from>
                    <xdr:col>7</xdr:col>
                    <xdr:colOff>590550</xdr:colOff>
                    <xdr:row>45</xdr:row>
                    <xdr:rowOff>0</xdr:rowOff>
                  </from>
                  <to>
                    <xdr:col>9</xdr:col>
                    <xdr:colOff>485775</xdr:colOff>
                    <xdr:row>46</xdr:row>
                    <xdr:rowOff>19050</xdr:rowOff>
                  </to>
                </anchor>
              </controlPr>
            </control>
          </mc:Choice>
        </mc:AlternateContent>
        <mc:AlternateContent xmlns:mc="http://schemas.openxmlformats.org/markup-compatibility/2006">
          <mc:Choice Requires="x14">
            <control shapeId="1046" r:id="rId13" name="Check Box 22">
              <controlPr defaultSize="0" autoFill="0" autoLine="0" autoPict="0">
                <anchor moveWithCells="1">
                  <from>
                    <xdr:col>6</xdr:col>
                    <xdr:colOff>19050</xdr:colOff>
                    <xdr:row>41</xdr:row>
                    <xdr:rowOff>171450</xdr:rowOff>
                  </from>
                  <to>
                    <xdr:col>7</xdr:col>
                    <xdr:colOff>209550</xdr:colOff>
                    <xdr:row>43</xdr:row>
                    <xdr:rowOff>0</xdr:rowOff>
                  </to>
                </anchor>
              </controlPr>
            </control>
          </mc:Choice>
        </mc:AlternateContent>
        <mc:AlternateContent xmlns:mc="http://schemas.openxmlformats.org/markup-compatibility/2006">
          <mc:Choice Requires="x14">
            <control shapeId="1047" r:id="rId14" name="Check Box 23">
              <controlPr defaultSize="0" autoFill="0" autoLine="0" autoPict="0">
                <anchor moveWithCells="1">
                  <from>
                    <xdr:col>6</xdr:col>
                    <xdr:colOff>19050</xdr:colOff>
                    <xdr:row>42</xdr:row>
                    <xdr:rowOff>180975</xdr:rowOff>
                  </from>
                  <to>
                    <xdr:col>7</xdr:col>
                    <xdr:colOff>209550</xdr:colOff>
                    <xdr:row>44</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49FB-AE11-4F4A-91C7-34991E9D1E9E}">
  <sheetPr>
    <pageSetUpPr fitToPage="1"/>
  </sheetPr>
  <dimension ref="A1:F38"/>
  <sheetViews>
    <sheetView zoomScaleNormal="100" workbookViewId="0">
      <selection activeCell="B6" sqref="B6:E6"/>
    </sheetView>
  </sheetViews>
  <sheetFormatPr defaultColWidth="8.7109375" defaultRowHeight="15" x14ac:dyDescent="0.25"/>
  <cols>
    <col min="1" max="1" width="9.140625" style="42" customWidth="1"/>
    <col min="2" max="2" width="23.42578125" customWidth="1"/>
    <col min="3" max="3" width="14.7109375" customWidth="1"/>
    <col min="4" max="4" width="10.7109375" customWidth="1"/>
    <col min="5" max="5" width="22.5703125" customWidth="1"/>
    <col min="6" max="6" width="10.7109375" customWidth="1"/>
  </cols>
  <sheetData>
    <row r="1" spans="1:6" ht="15.75" thickBot="1" x14ac:dyDescent="0.3">
      <c r="C1" s="143" t="s">
        <v>56</v>
      </c>
      <c r="D1" s="144"/>
      <c r="E1" s="149">
        <f ca="1">TODAY()</f>
        <v>45980</v>
      </c>
      <c r="F1" s="146"/>
    </row>
    <row r="2" spans="1:6" ht="15.75" thickBot="1" x14ac:dyDescent="0.3">
      <c r="C2" s="143" t="s">
        <v>57</v>
      </c>
      <c r="D2" s="144"/>
      <c r="E2" s="145" t="s">
        <v>58</v>
      </c>
      <c r="F2" s="146"/>
    </row>
    <row r="3" spans="1:6" ht="15.75" thickBot="1" x14ac:dyDescent="0.3">
      <c r="C3" s="143" t="s">
        <v>59</v>
      </c>
      <c r="D3" s="144"/>
      <c r="E3" s="147">
        <v>832059</v>
      </c>
      <c r="F3" s="148"/>
    </row>
    <row r="4" spans="1:6" x14ac:dyDescent="0.25">
      <c r="C4" s="143" t="s">
        <v>60</v>
      </c>
      <c r="D4" s="144"/>
      <c r="E4" s="147">
        <f>E3</f>
        <v>832059</v>
      </c>
      <c r="F4" s="148"/>
    </row>
    <row r="5" spans="1:6" ht="19.5" thickBot="1" x14ac:dyDescent="0.35">
      <c r="A5" s="155" t="s">
        <v>61</v>
      </c>
      <c r="B5" s="155"/>
      <c r="C5" s="155"/>
      <c r="D5" s="155"/>
      <c r="E5" s="155"/>
      <c r="F5" s="155"/>
    </row>
    <row r="6" spans="1:6" ht="15.95" customHeight="1" thickBot="1" x14ac:dyDescent="0.3">
      <c r="A6" s="51">
        <v>1</v>
      </c>
      <c r="B6" s="132" t="s">
        <v>62</v>
      </c>
      <c r="C6" s="133"/>
      <c r="D6" s="133"/>
      <c r="E6" s="134"/>
      <c r="F6" s="48" t="s">
        <v>63</v>
      </c>
    </row>
    <row r="7" spans="1:6" ht="15.75" thickBot="1" x14ac:dyDescent="0.3">
      <c r="A7" s="50">
        <v>2</v>
      </c>
      <c r="B7" s="132" t="s">
        <v>64</v>
      </c>
      <c r="C7" s="133"/>
      <c r="D7" s="133"/>
      <c r="E7" s="134"/>
      <c r="F7" s="48" t="s">
        <v>63</v>
      </c>
    </row>
    <row r="8" spans="1:6" ht="15.95" customHeight="1" thickBot="1" x14ac:dyDescent="0.3">
      <c r="A8" s="50">
        <v>3</v>
      </c>
      <c r="B8" s="132" t="s">
        <v>64</v>
      </c>
      <c r="C8" s="133"/>
      <c r="D8" s="133"/>
      <c r="E8" s="134"/>
      <c r="F8" s="48" t="s">
        <v>63</v>
      </c>
    </row>
    <row r="9" spans="1:6" ht="15.75" thickBot="1" x14ac:dyDescent="0.3">
      <c r="A9" s="50">
        <v>4</v>
      </c>
      <c r="B9" s="132" t="s">
        <v>65</v>
      </c>
      <c r="C9" s="133"/>
      <c r="D9" s="133"/>
      <c r="E9" s="134"/>
      <c r="F9" s="48" t="s">
        <v>63</v>
      </c>
    </row>
    <row r="10" spans="1:6" ht="15" customHeight="1" thickBot="1" x14ac:dyDescent="0.3">
      <c r="A10" s="50">
        <v>5</v>
      </c>
      <c r="B10" s="132" t="s">
        <v>66</v>
      </c>
      <c r="C10" s="133"/>
      <c r="D10" s="133"/>
      <c r="E10" s="134"/>
      <c r="F10" s="48" t="s">
        <v>63</v>
      </c>
    </row>
    <row r="11" spans="1:6" ht="18.95" customHeight="1" thickBot="1" x14ac:dyDescent="0.3">
      <c r="A11" s="50">
        <v>6</v>
      </c>
      <c r="B11" s="132" t="s">
        <v>67</v>
      </c>
      <c r="C11" s="133"/>
      <c r="D11" s="133"/>
      <c r="E11" s="134"/>
      <c r="F11" s="48" t="s">
        <v>63</v>
      </c>
    </row>
    <row r="12" spans="1:6" ht="15.75" thickBot="1" x14ac:dyDescent="0.3">
      <c r="A12" s="49">
        <v>7</v>
      </c>
      <c r="B12" s="132" t="s">
        <v>68</v>
      </c>
      <c r="C12" s="133"/>
      <c r="D12" s="133"/>
      <c r="E12" s="134"/>
      <c r="F12" s="48" t="s">
        <v>63</v>
      </c>
    </row>
    <row r="13" spans="1:6" ht="18.95" customHeight="1" x14ac:dyDescent="0.25">
      <c r="A13" s="139"/>
      <c r="B13" s="140"/>
      <c r="C13" s="140"/>
      <c r="D13" s="140"/>
      <c r="E13" s="140"/>
      <c r="F13" s="141"/>
    </row>
    <row r="14" spans="1:6" ht="15.75" x14ac:dyDescent="0.25">
      <c r="A14" s="46" t="s">
        <v>69</v>
      </c>
      <c r="B14" s="47" t="s">
        <v>70</v>
      </c>
      <c r="C14" s="47" t="s">
        <v>71</v>
      </c>
      <c r="D14" s="142" t="s">
        <v>72</v>
      </c>
      <c r="E14" s="142"/>
      <c r="F14" s="47" t="s">
        <v>73</v>
      </c>
    </row>
    <row r="15" spans="1:6" ht="18.95" customHeight="1" x14ac:dyDescent="0.25">
      <c r="A15" s="46">
        <f>E4</f>
        <v>832059</v>
      </c>
      <c r="B15" s="45" t="s">
        <v>74</v>
      </c>
      <c r="C15" s="45" t="s">
        <v>75</v>
      </c>
      <c r="D15" s="137"/>
      <c r="E15" s="138"/>
      <c r="F15" s="45" t="s">
        <v>76</v>
      </c>
    </row>
    <row r="16" spans="1:6" ht="18.95" customHeight="1" x14ac:dyDescent="0.3">
      <c r="A16" s="44"/>
      <c r="B16" s="43"/>
      <c r="C16" s="43"/>
      <c r="D16" s="131"/>
      <c r="E16" s="131"/>
      <c r="F16" s="43"/>
    </row>
    <row r="17" spans="1:6" ht="18.95" customHeight="1" x14ac:dyDescent="0.3">
      <c r="A17" s="44"/>
      <c r="B17" s="43"/>
      <c r="C17" s="43"/>
      <c r="D17" s="131"/>
      <c r="E17" s="131"/>
      <c r="F17" s="43"/>
    </row>
    <row r="18" spans="1:6" ht="18.95" customHeight="1" x14ac:dyDescent="0.3">
      <c r="A18" s="44"/>
      <c r="B18" s="43"/>
      <c r="C18" s="43"/>
      <c r="D18" s="131"/>
      <c r="E18" s="131"/>
      <c r="F18" s="43"/>
    </row>
    <row r="19" spans="1:6" ht="18.95" customHeight="1" x14ac:dyDescent="0.3">
      <c r="A19" s="44"/>
      <c r="B19" s="43"/>
      <c r="C19" s="43"/>
      <c r="D19" s="131"/>
      <c r="E19" s="131"/>
      <c r="F19" s="43"/>
    </row>
    <row r="20" spans="1:6" ht="18.95" customHeight="1" x14ac:dyDescent="0.3">
      <c r="A20" s="44"/>
      <c r="B20" s="43"/>
      <c r="C20" s="43"/>
      <c r="D20" s="131"/>
      <c r="E20" s="131"/>
      <c r="F20" s="43"/>
    </row>
    <row r="21" spans="1:6" ht="18.95" customHeight="1" x14ac:dyDescent="0.3">
      <c r="A21" s="44"/>
      <c r="B21" s="43"/>
      <c r="C21" s="43"/>
      <c r="D21" s="131"/>
      <c r="E21" s="131"/>
      <c r="F21" s="43"/>
    </row>
    <row r="22" spans="1:6" ht="18.600000000000001" customHeight="1" x14ac:dyDescent="0.3">
      <c r="A22" s="44"/>
      <c r="B22" s="43"/>
      <c r="C22" s="43"/>
      <c r="D22" s="131"/>
      <c r="E22" s="131"/>
      <c r="F22" s="43"/>
    </row>
    <row r="23" spans="1:6" ht="18.95" customHeight="1" x14ac:dyDescent="0.3">
      <c r="A23" s="44"/>
      <c r="B23" s="43"/>
      <c r="C23" s="43"/>
      <c r="D23" s="131"/>
      <c r="E23" s="131"/>
      <c r="F23" s="43"/>
    </row>
    <row r="24" spans="1:6" ht="18.95" customHeight="1" x14ac:dyDescent="0.3">
      <c r="A24" s="44"/>
      <c r="B24" s="43"/>
      <c r="C24" s="43"/>
      <c r="D24" s="131"/>
      <c r="E24" s="131"/>
      <c r="F24" s="43"/>
    </row>
    <row r="25" spans="1:6" ht="18.95" customHeight="1" x14ac:dyDescent="0.3">
      <c r="A25" s="44"/>
      <c r="B25" s="43"/>
      <c r="C25" s="43"/>
      <c r="D25" s="131"/>
      <c r="E25" s="131"/>
      <c r="F25" s="43"/>
    </row>
    <row r="26" spans="1:6" ht="18.95" customHeight="1" x14ac:dyDescent="0.3">
      <c r="A26" s="44"/>
      <c r="B26" s="43"/>
      <c r="C26" s="43"/>
      <c r="D26" s="131"/>
      <c r="E26" s="131"/>
      <c r="F26" s="43"/>
    </row>
    <row r="27" spans="1:6" ht="18.95" customHeight="1" x14ac:dyDescent="0.3">
      <c r="A27" s="44"/>
      <c r="B27" s="43"/>
      <c r="C27" s="43"/>
      <c r="D27" s="131"/>
      <c r="E27" s="131"/>
      <c r="F27" s="43"/>
    </row>
    <row r="28" spans="1:6" ht="18.95" customHeight="1" x14ac:dyDescent="0.3">
      <c r="A28" s="44"/>
      <c r="B28" s="43"/>
      <c r="C28" s="43"/>
      <c r="D28" s="131"/>
      <c r="E28" s="131"/>
      <c r="F28" s="43"/>
    </row>
    <row r="29" spans="1:6" ht="18.95" customHeight="1" x14ac:dyDescent="0.3">
      <c r="A29" s="44"/>
      <c r="B29" s="43"/>
      <c r="C29" s="43"/>
      <c r="D29" s="131"/>
      <c r="E29" s="131"/>
      <c r="F29" s="43"/>
    </row>
    <row r="30" spans="1:6" ht="18.95" customHeight="1" x14ac:dyDescent="0.3">
      <c r="A30" s="44"/>
      <c r="B30" s="43"/>
      <c r="C30" s="43"/>
      <c r="D30" s="131"/>
      <c r="E30" s="131"/>
      <c r="F30" s="43"/>
    </row>
    <row r="31" spans="1:6" ht="18.95" customHeight="1" x14ac:dyDescent="0.3">
      <c r="A31" s="44"/>
      <c r="B31" s="43"/>
      <c r="C31" s="43"/>
      <c r="D31" s="131"/>
      <c r="E31" s="131"/>
      <c r="F31" s="43"/>
    </row>
    <row r="32" spans="1:6" ht="18.95" customHeight="1" x14ac:dyDescent="0.25">
      <c r="A32" s="136" t="s">
        <v>77</v>
      </c>
      <c r="B32" s="136"/>
      <c r="C32" s="136"/>
      <c r="D32" s="136"/>
      <c r="E32" s="136"/>
      <c r="F32" s="136"/>
    </row>
    <row r="33" spans="1:6" ht="18.95" customHeight="1" x14ac:dyDescent="0.25">
      <c r="A33" s="150" t="s">
        <v>78</v>
      </c>
      <c r="B33" s="151"/>
      <c r="C33" s="152" t="s">
        <v>79</v>
      </c>
      <c r="D33" s="153"/>
      <c r="E33" s="153"/>
      <c r="F33" s="154"/>
    </row>
    <row r="34" spans="1:6" ht="18.95" customHeight="1" x14ac:dyDescent="0.25">
      <c r="A34" s="135" t="s">
        <v>80</v>
      </c>
      <c r="B34" s="135"/>
      <c r="C34" s="135"/>
      <c r="D34" s="135"/>
      <c r="E34" s="135"/>
      <c r="F34" s="135"/>
    </row>
    <row r="35" spans="1:6" ht="18.95" customHeight="1" x14ac:dyDescent="0.25">
      <c r="A35" s="135"/>
      <c r="B35" s="135"/>
      <c r="C35" s="135"/>
      <c r="D35" s="135"/>
      <c r="E35" s="135"/>
      <c r="F35" s="135"/>
    </row>
    <row r="36" spans="1:6" ht="18.95" customHeight="1" x14ac:dyDescent="0.25">
      <c r="A36" s="135"/>
      <c r="B36" s="135"/>
      <c r="C36" s="135"/>
      <c r="D36" s="135"/>
      <c r="E36" s="135"/>
      <c r="F36" s="135"/>
    </row>
    <row r="37" spans="1:6" ht="14.45" customHeight="1" x14ac:dyDescent="0.25">
      <c r="A37" s="135"/>
      <c r="B37" s="135"/>
      <c r="C37" s="135"/>
      <c r="D37" s="135"/>
      <c r="E37" s="135"/>
      <c r="F37" s="135"/>
    </row>
    <row r="38" spans="1:6" ht="14.45" customHeight="1" x14ac:dyDescent="0.25">
      <c r="A38" s="135"/>
      <c r="B38" s="135"/>
      <c r="C38" s="135"/>
      <c r="D38" s="135"/>
      <c r="E38" s="135"/>
      <c r="F38" s="135"/>
    </row>
  </sheetData>
  <mergeCells count="39">
    <mergeCell ref="C1:D1"/>
    <mergeCell ref="E1:F1"/>
    <mergeCell ref="A33:B33"/>
    <mergeCell ref="C33:F33"/>
    <mergeCell ref="D30:E30"/>
    <mergeCell ref="D31:E31"/>
    <mergeCell ref="D25:E25"/>
    <mergeCell ref="D26:E26"/>
    <mergeCell ref="D27:E27"/>
    <mergeCell ref="D28:E28"/>
    <mergeCell ref="A5:F5"/>
    <mergeCell ref="B9:E9"/>
    <mergeCell ref="B10:E10"/>
    <mergeCell ref="B11:E11"/>
    <mergeCell ref="B12:E12"/>
    <mergeCell ref="B6:E6"/>
    <mergeCell ref="B7:E7"/>
    <mergeCell ref="C2:D2"/>
    <mergeCell ref="E2:F2"/>
    <mergeCell ref="C3:D3"/>
    <mergeCell ref="E3:F3"/>
    <mergeCell ref="C4:D4"/>
    <mergeCell ref="E4:F4"/>
    <mergeCell ref="D17:E17"/>
    <mergeCell ref="D18:E18"/>
    <mergeCell ref="D19:E19"/>
    <mergeCell ref="B8:E8"/>
    <mergeCell ref="A34:F38"/>
    <mergeCell ref="D20:E20"/>
    <mergeCell ref="D21:E21"/>
    <mergeCell ref="D22:E22"/>
    <mergeCell ref="D23:E23"/>
    <mergeCell ref="D24:E24"/>
    <mergeCell ref="A32:F32"/>
    <mergeCell ref="D15:E15"/>
    <mergeCell ref="D16:E16"/>
    <mergeCell ref="D29:E29"/>
    <mergeCell ref="A13:F13"/>
    <mergeCell ref="D14:E14"/>
  </mergeCells>
  <pageMargins left="0.7" right="0.7" top="0.75" bottom="0.75" header="0.3" footer="0.3"/>
  <pageSetup scale="99" fitToHeight="0" orientation="portrait" r:id="rId1"/>
  <headerFooter>
    <oddHeader>&amp;C&amp;"-,Bold Italic"&amp;20&amp;UVoilà Van Pre-Load Form</oddHeader>
    <oddFooter>&amp;L&amp;8Document No: CFC233.02 – Voilà Van Pre-Load Form
Revision Date: March 9, 2022
Issue Date: September 30, 2020&amp;R&amp;8Page 1 of 1
Revision Level: 2
Supercedes:CFC233.01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A46F-04D3-4EC6-A3FA-F95330EDB8BD}">
  <sheetPr>
    <pageSetUpPr fitToPage="1"/>
  </sheetPr>
  <dimension ref="A1:W49"/>
  <sheetViews>
    <sheetView showGridLines="0" topLeftCell="A4" zoomScale="145" zoomScaleNormal="145" workbookViewId="0">
      <selection activeCell="K6" sqref="K6:L6"/>
    </sheetView>
  </sheetViews>
  <sheetFormatPr defaultRowHeight="15" x14ac:dyDescent="0.25"/>
  <cols>
    <col min="1" max="1" width="4.7109375" customWidth="1"/>
    <col min="2" max="2" width="5.5703125" customWidth="1"/>
    <col min="3" max="4" width="4.7109375" customWidth="1"/>
    <col min="5" max="5" width="5.28515625" bestFit="1" customWidth="1"/>
    <col min="6" max="6" width="4.7109375" customWidth="1"/>
    <col min="14" max="15" width="4.7109375" customWidth="1"/>
  </cols>
  <sheetData>
    <row r="1" spans="1:23" x14ac:dyDescent="0.25">
      <c r="A1" s="55" t="s">
        <v>0</v>
      </c>
      <c r="B1" s="55"/>
      <c r="C1" s="55"/>
      <c r="D1" s="55"/>
      <c r="E1" s="55"/>
      <c r="F1" s="1"/>
      <c r="G1" s="1"/>
      <c r="H1" s="1"/>
      <c r="I1" s="2"/>
      <c r="J1" s="2"/>
      <c r="K1" s="2"/>
      <c r="L1" s="2"/>
      <c r="M1" s="2"/>
      <c r="N1" s="2"/>
      <c r="O1" s="1"/>
    </row>
    <row r="2" spans="1:23" x14ac:dyDescent="0.25">
      <c r="A2" s="56" t="s">
        <v>1</v>
      </c>
      <c r="B2" s="56"/>
      <c r="C2" s="56"/>
      <c r="D2" s="56"/>
      <c r="E2" s="56"/>
      <c r="F2" s="2"/>
      <c r="G2" s="2"/>
      <c r="H2" s="3"/>
      <c r="I2" s="2" t="s">
        <v>2</v>
      </c>
      <c r="J2" s="57">
        <f ca="1">TODAY()</f>
        <v>45980</v>
      </c>
      <c r="K2" s="58"/>
      <c r="L2" s="2"/>
      <c r="M2" s="2"/>
      <c r="N2" s="2"/>
      <c r="O2" s="4"/>
    </row>
    <row r="3" spans="1:23" x14ac:dyDescent="0.25">
      <c r="A3" s="5" t="s">
        <v>3</v>
      </c>
      <c r="B3" s="1"/>
      <c r="C3" s="6"/>
      <c r="D3" s="6"/>
      <c r="E3" s="6"/>
      <c r="F3" s="6"/>
      <c r="G3" s="1"/>
      <c r="H3" s="7"/>
      <c r="I3" s="71" t="s">
        <v>4</v>
      </c>
      <c r="J3" s="60"/>
      <c r="K3" s="72" t="str">
        <f ca="1">"V_" &amp; TEXT(J2,"yyyymmdd") &amp; "_" &amp; K7</f>
        <v>V_20251119_53192</v>
      </c>
      <c r="L3" s="72"/>
      <c r="M3" s="72"/>
      <c r="N3" s="72"/>
      <c r="O3" s="73"/>
    </row>
    <row r="4" spans="1:23" x14ac:dyDescent="0.25">
      <c r="A4" s="68" t="s">
        <v>5</v>
      </c>
      <c r="B4" s="69"/>
      <c r="C4" s="69"/>
      <c r="D4" s="69"/>
      <c r="E4" s="69"/>
      <c r="F4" s="69"/>
      <c r="G4" s="1"/>
      <c r="H4" s="8"/>
      <c r="I4" s="1"/>
      <c r="J4" s="1"/>
      <c r="K4" s="1"/>
      <c r="L4" s="1"/>
      <c r="M4" s="1"/>
      <c r="N4" s="1"/>
      <c r="O4" s="8"/>
    </row>
    <row r="5" spans="1:23" x14ac:dyDescent="0.25">
      <c r="A5" s="68"/>
      <c r="B5" s="69"/>
      <c r="C5" s="69"/>
      <c r="D5" s="69"/>
      <c r="E5" s="69"/>
      <c r="F5" s="69"/>
      <c r="G5" s="1"/>
      <c r="H5" s="8"/>
      <c r="I5" s="2"/>
      <c r="J5" s="2"/>
      <c r="K5" s="2"/>
      <c r="L5" s="2"/>
      <c r="M5" s="2"/>
      <c r="N5" s="2"/>
      <c r="O5" s="3"/>
    </row>
    <row r="6" spans="1:23" x14ac:dyDescent="0.25">
      <c r="A6" s="68"/>
      <c r="B6" s="69"/>
      <c r="C6" s="69"/>
      <c r="D6" s="69"/>
      <c r="E6" s="69"/>
      <c r="F6" s="69"/>
      <c r="G6" s="1"/>
      <c r="H6" s="8"/>
      <c r="I6" s="63" t="s">
        <v>6</v>
      </c>
      <c r="J6" s="63"/>
      <c r="K6" s="62" t="s">
        <v>93</v>
      </c>
      <c r="L6" s="62"/>
      <c r="M6" s="1"/>
      <c r="N6" s="9"/>
      <c r="O6" s="8"/>
      <c r="Q6" t="s">
        <v>81</v>
      </c>
      <c r="V6" s="70">
        <v>831409</v>
      </c>
      <c r="W6" s="70"/>
    </row>
    <row r="7" spans="1:23" x14ac:dyDescent="0.25">
      <c r="A7" s="10" t="s">
        <v>8</v>
      </c>
      <c r="B7" s="66"/>
      <c r="C7" s="66"/>
      <c r="D7" s="2"/>
      <c r="E7" s="2"/>
      <c r="F7" s="2"/>
      <c r="G7" s="2"/>
      <c r="H7" s="3"/>
      <c r="I7" s="63" t="s">
        <v>9</v>
      </c>
      <c r="J7" s="63"/>
      <c r="K7" s="70">
        <v>53192</v>
      </c>
      <c r="L7" s="70"/>
      <c r="M7" s="9"/>
      <c r="N7" s="9"/>
      <c r="O7" s="8"/>
      <c r="Q7" s="70">
        <v>619023</v>
      </c>
      <c r="R7" s="70"/>
    </row>
    <row r="8" spans="1:23" x14ac:dyDescent="0.25">
      <c r="A8" s="5" t="s">
        <v>10</v>
      </c>
      <c r="B8" s="11"/>
      <c r="C8" s="11"/>
      <c r="D8" s="11"/>
      <c r="E8" s="11"/>
      <c r="F8" s="67" t="s">
        <v>11</v>
      </c>
      <c r="G8" s="67"/>
      <c r="H8" s="8"/>
      <c r="I8" s="64" t="s">
        <v>12</v>
      </c>
      <c r="J8" s="65"/>
      <c r="K8" s="70">
        <v>23635233</v>
      </c>
      <c r="L8" s="70"/>
      <c r="M8" s="12"/>
      <c r="N8" s="12"/>
      <c r="O8" s="3"/>
      <c r="Q8" t="s">
        <v>82</v>
      </c>
    </row>
    <row r="9" spans="1:23" x14ac:dyDescent="0.25">
      <c r="A9" s="68" t="s">
        <v>83</v>
      </c>
      <c r="B9" s="69"/>
      <c r="C9" s="69"/>
      <c r="D9" s="69"/>
      <c r="E9" s="69"/>
      <c r="F9" s="69"/>
      <c r="G9" s="1"/>
      <c r="H9" s="8"/>
      <c r="I9" s="13" t="s">
        <v>14</v>
      </c>
      <c r="J9" s="32" t="s">
        <v>15</v>
      </c>
      <c r="K9" s="1"/>
      <c r="L9" s="1"/>
      <c r="M9" s="1"/>
      <c r="N9" s="1"/>
      <c r="O9" s="8"/>
      <c r="Q9" s="70" t="s">
        <v>84</v>
      </c>
      <c r="R9" s="70"/>
    </row>
    <row r="10" spans="1:23" x14ac:dyDescent="0.25">
      <c r="A10" s="68"/>
      <c r="B10" s="69"/>
      <c r="C10" s="69"/>
      <c r="D10" s="69"/>
      <c r="E10" s="69"/>
      <c r="F10" s="69"/>
      <c r="G10" s="1"/>
      <c r="H10" s="8"/>
      <c r="I10" s="13" t="s">
        <v>16</v>
      </c>
      <c r="J10" s="1"/>
      <c r="K10" s="1"/>
      <c r="L10" s="1"/>
      <c r="M10" s="1"/>
      <c r="N10" s="1"/>
      <c r="O10" s="8"/>
    </row>
    <row r="11" spans="1:23" x14ac:dyDescent="0.25">
      <c r="A11" s="68"/>
      <c r="B11" s="69"/>
      <c r="C11" s="69"/>
      <c r="D11" s="69"/>
      <c r="E11" s="69"/>
      <c r="F11" s="69"/>
      <c r="G11" s="1"/>
      <c r="H11" s="8"/>
      <c r="I11" s="1"/>
      <c r="J11" s="1"/>
      <c r="K11" s="1"/>
      <c r="L11" s="1"/>
      <c r="M11" s="1"/>
      <c r="N11" s="1"/>
      <c r="O11" s="8"/>
    </row>
    <row r="12" spans="1:23" x14ac:dyDescent="0.25">
      <c r="A12" s="10" t="s">
        <v>17</v>
      </c>
      <c r="B12" s="66"/>
      <c r="C12" s="66"/>
      <c r="D12" s="2"/>
      <c r="E12" s="2"/>
      <c r="F12" s="2"/>
      <c r="G12" s="2"/>
      <c r="H12" s="3"/>
      <c r="I12" s="2"/>
      <c r="J12" s="2"/>
      <c r="K12" s="2"/>
      <c r="L12" s="2"/>
      <c r="M12" s="2"/>
      <c r="N12" s="2"/>
      <c r="O12" s="3"/>
    </row>
    <row r="13" spans="1:23" x14ac:dyDescent="0.25">
      <c r="A13" s="158" t="s">
        <v>18</v>
      </c>
      <c r="B13" s="159"/>
      <c r="C13" s="159"/>
      <c r="D13" s="159"/>
      <c r="E13" s="159"/>
      <c r="F13" s="159"/>
      <c r="G13" s="159"/>
      <c r="H13" s="160"/>
      <c r="I13" s="157" t="s">
        <v>19</v>
      </c>
      <c r="J13" s="157"/>
      <c r="K13" s="1"/>
      <c r="L13" s="1"/>
      <c r="M13" s="1"/>
      <c r="N13" s="1"/>
      <c r="O13" s="8"/>
    </row>
    <row r="14" spans="1:23" x14ac:dyDescent="0.25">
      <c r="A14" s="14"/>
      <c r="B14" s="2"/>
      <c r="C14" s="2"/>
      <c r="D14" s="2"/>
      <c r="E14" s="2"/>
      <c r="F14" s="2"/>
      <c r="G14" s="2"/>
      <c r="H14" s="3"/>
      <c r="I14" s="1"/>
      <c r="J14" s="1"/>
      <c r="K14" s="1"/>
      <c r="L14" s="1"/>
      <c r="M14" s="1"/>
      <c r="N14" s="1"/>
      <c r="O14" s="8"/>
    </row>
    <row r="15" spans="1:23" x14ac:dyDescent="0.25">
      <c r="A15" s="71" t="s">
        <v>21</v>
      </c>
      <c r="B15" s="60"/>
      <c r="C15" s="60"/>
      <c r="D15" s="60"/>
      <c r="E15" s="60"/>
      <c r="F15" s="60"/>
      <c r="G15" s="60"/>
      <c r="H15" s="8"/>
      <c r="I15" s="1"/>
      <c r="J15" s="61" t="s">
        <v>85</v>
      </c>
      <c r="K15" s="61"/>
      <c r="L15" s="61"/>
      <c r="M15" s="1"/>
      <c r="N15" s="1"/>
      <c r="O15" s="8"/>
    </row>
    <row r="16" spans="1:23" x14ac:dyDescent="0.25">
      <c r="A16" s="15"/>
      <c r="B16" s="1"/>
      <c r="C16" s="1"/>
      <c r="D16" s="1"/>
      <c r="E16" s="1"/>
      <c r="F16" s="1"/>
      <c r="G16" s="1"/>
      <c r="H16" s="8"/>
      <c r="I16" s="1"/>
      <c r="J16" s="1"/>
      <c r="K16" s="1"/>
      <c r="L16" s="1"/>
      <c r="M16" s="1"/>
      <c r="N16" s="1"/>
      <c r="O16" s="8"/>
    </row>
    <row r="17" spans="1:15" x14ac:dyDescent="0.25">
      <c r="A17" s="15"/>
      <c r="B17" s="1"/>
      <c r="C17" s="1"/>
      <c r="D17" s="1"/>
      <c r="E17" s="1"/>
      <c r="F17" s="1"/>
      <c r="G17" s="1"/>
      <c r="H17" s="8"/>
      <c r="I17" s="1"/>
      <c r="J17" s="1"/>
      <c r="K17" s="1"/>
      <c r="L17" s="1"/>
      <c r="M17" s="1"/>
      <c r="N17" s="1"/>
      <c r="O17" s="8"/>
    </row>
    <row r="18" spans="1:15" ht="15.75" thickBot="1" x14ac:dyDescent="0.3">
      <c r="A18" s="53"/>
      <c r="B18" s="16"/>
      <c r="C18" s="16"/>
      <c r="D18" s="16"/>
      <c r="E18" s="16"/>
      <c r="F18" s="16"/>
      <c r="G18" s="16"/>
      <c r="H18" s="52"/>
      <c r="I18" s="16"/>
      <c r="J18" s="16"/>
      <c r="K18" s="16"/>
      <c r="L18" s="16"/>
      <c r="M18" s="16"/>
      <c r="N18" s="16"/>
      <c r="O18" s="52"/>
    </row>
    <row r="19" spans="1:15" x14ac:dyDescent="0.25">
      <c r="A19" s="74" t="s">
        <v>27</v>
      </c>
      <c r="B19" s="75"/>
      <c r="C19" s="76" t="s">
        <v>28</v>
      </c>
      <c r="D19" s="75"/>
      <c r="E19" s="77"/>
      <c r="F19" s="78"/>
      <c r="G19" s="129" t="s">
        <v>29</v>
      </c>
      <c r="H19" s="130"/>
      <c r="I19" s="130"/>
      <c r="J19" s="130"/>
      <c r="K19" s="130"/>
      <c r="L19" s="130"/>
      <c r="M19" s="156"/>
      <c r="N19" s="130" t="s">
        <v>30</v>
      </c>
      <c r="O19" s="156"/>
    </row>
    <row r="20" spans="1:15" ht="33.75" customHeight="1" x14ac:dyDescent="0.25">
      <c r="A20" s="17" t="s">
        <v>31</v>
      </c>
      <c r="B20" s="18" t="s">
        <v>32</v>
      </c>
      <c r="C20" s="17" t="s">
        <v>31</v>
      </c>
      <c r="D20" s="18" t="s">
        <v>32</v>
      </c>
      <c r="E20" s="19" t="s">
        <v>33</v>
      </c>
      <c r="F20" s="20" t="s">
        <v>34</v>
      </c>
      <c r="G20" s="126" t="s">
        <v>35</v>
      </c>
      <c r="H20" s="127"/>
      <c r="I20" s="127"/>
      <c r="J20" s="127"/>
      <c r="K20" s="127"/>
      <c r="L20" s="127"/>
      <c r="M20" s="128"/>
      <c r="N20" s="21" t="s">
        <v>36</v>
      </c>
      <c r="O20" s="22" t="s">
        <v>37</v>
      </c>
    </row>
    <row r="21" spans="1:15" x14ac:dyDescent="0.25">
      <c r="A21" s="30">
        <v>36</v>
      </c>
      <c r="B21" s="24" t="s">
        <v>38</v>
      </c>
      <c r="C21" s="23">
        <f>20*A21</f>
        <v>720</v>
      </c>
      <c r="D21" s="24" t="s">
        <v>39</v>
      </c>
      <c r="E21" s="25">
        <f>SUM((A21*50),(C21*37))</f>
        <v>28440</v>
      </c>
      <c r="F21" s="24"/>
      <c r="G21" s="88" t="s">
        <v>40</v>
      </c>
      <c r="H21" s="89"/>
      <c r="I21" s="89"/>
      <c r="J21" s="89"/>
      <c r="K21" s="89"/>
      <c r="L21" s="89"/>
      <c r="M21" s="90"/>
      <c r="N21" s="23"/>
      <c r="O21" s="24"/>
    </row>
    <row r="22" spans="1:15" x14ac:dyDescent="0.25">
      <c r="A22" s="23"/>
      <c r="B22" s="24"/>
      <c r="C22" s="23"/>
      <c r="D22" s="24"/>
      <c r="E22" s="23"/>
      <c r="F22" s="24"/>
      <c r="G22" s="88"/>
      <c r="H22" s="89"/>
      <c r="I22" s="89"/>
      <c r="J22" s="89"/>
      <c r="K22" s="89"/>
      <c r="L22" s="89"/>
      <c r="M22" s="90"/>
      <c r="N22" s="23"/>
      <c r="O22" s="24"/>
    </row>
    <row r="23" spans="1:15" x14ac:dyDescent="0.25">
      <c r="A23" s="23"/>
      <c r="B23" s="24"/>
      <c r="C23" s="23"/>
      <c r="D23" s="24"/>
      <c r="E23" s="23"/>
      <c r="F23" s="24"/>
      <c r="G23" s="88"/>
      <c r="H23" s="89"/>
      <c r="I23" s="89"/>
      <c r="J23" s="89"/>
      <c r="K23" s="89"/>
      <c r="L23" s="89"/>
      <c r="M23" s="90"/>
      <c r="N23" s="23"/>
      <c r="O23" s="24"/>
    </row>
    <row r="24" spans="1:15" x14ac:dyDescent="0.25">
      <c r="A24" s="23"/>
      <c r="B24" s="24"/>
      <c r="C24" s="23"/>
      <c r="D24" s="24"/>
      <c r="E24" s="23"/>
      <c r="F24" s="24"/>
      <c r="G24" s="88"/>
      <c r="H24" s="89"/>
      <c r="I24" s="89"/>
      <c r="J24" s="89"/>
      <c r="K24" s="89"/>
      <c r="L24" s="89"/>
      <c r="M24" s="90"/>
      <c r="N24" s="23"/>
      <c r="O24" s="24"/>
    </row>
    <row r="25" spans="1:15" x14ac:dyDescent="0.25">
      <c r="A25" s="23"/>
      <c r="B25" s="24"/>
      <c r="C25" s="23"/>
      <c r="D25" s="24"/>
      <c r="E25" s="23"/>
      <c r="F25" s="24"/>
      <c r="G25" s="88"/>
      <c r="H25" s="89"/>
      <c r="I25" s="89"/>
      <c r="J25" s="89"/>
      <c r="K25" s="89"/>
      <c r="L25" s="89"/>
      <c r="M25" s="90"/>
      <c r="N25" s="23"/>
      <c r="O25" s="24"/>
    </row>
    <row r="26" spans="1:15" x14ac:dyDescent="0.25">
      <c r="A26" s="23"/>
      <c r="B26" s="24"/>
      <c r="C26" s="23"/>
      <c r="D26" s="24"/>
      <c r="E26" s="23"/>
      <c r="F26" s="24"/>
      <c r="G26" s="88"/>
      <c r="H26" s="89"/>
      <c r="I26" s="89"/>
      <c r="J26" s="89"/>
      <c r="K26" s="89"/>
      <c r="L26" s="89"/>
      <c r="M26" s="90"/>
      <c r="N26" s="23"/>
      <c r="O26" s="24"/>
    </row>
    <row r="27" spans="1:15" ht="15.75" thickBot="1" x14ac:dyDescent="0.3">
      <c r="A27" s="26">
        <f>SUM(A21:A26)</f>
        <v>36</v>
      </c>
      <c r="B27" s="27"/>
      <c r="C27" s="26">
        <f>SUM(C21:C26)</f>
        <v>720</v>
      </c>
      <c r="D27" s="27"/>
      <c r="E27" s="26">
        <f>SUM(E21:E26)</f>
        <v>28440</v>
      </c>
      <c r="F27" s="27"/>
      <c r="G27" s="108" t="s">
        <v>41</v>
      </c>
      <c r="H27" s="109"/>
      <c r="I27" s="109"/>
      <c r="J27" s="109"/>
      <c r="K27" s="109"/>
      <c r="L27" s="109"/>
      <c r="M27" s="110"/>
      <c r="N27" s="27"/>
      <c r="O27" s="27"/>
    </row>
    <row r="28" spans="1:15" ht="15" customHeight="1" x14ac:dyDescent="0.25">
      <c r="A28" s="103" t="s">
        <v>42</v>
      </c>
      <c r="B28" s="104"/>
      <c r="C28" s="104"/>
      <c r="D28" s="104"/>
      <c r="E28" s="104"/>
      <c r="F28" s="104"/>
      <c r="G28" s="104"/>
      <c r="H28" s="105"/>
      <c r="I28" s="103" t="s">
        <v>43</v>
      </c>
      <c r="J28" s="104"/>
      <c r="K28" s="104"/>
      <c r="L28" s="104"/>
      <c r="M28" s="104"/>
      <c r="N28" s="104"/>
      <c r="O28" s="105"/>
    </row>
    <row r="29" spans="1:15" x14ac:dyDescent="0.25">
      <c r="A29" s="94"/>
      <c r="B29" s="95"/>
      <c r="C29" s="95"/>
      <c r="D29" s="95"/>
      <c r="E29" s="95"/>
      <c r="F29" s="95"/>
      <c r="G29" s="95"/>
      <c r="H29" s="96"/>
      <c r="I29" s="94"/>
      <c r="J29" s="95"/>
      <c r="K29" s="95"/>
      <c r="L29" s="95"/>
      <c r="M29" s="95"/>
      <c r="N29" s="95"/>
      <c r="O29" s="96"/>
    </row>
    <row r="30" spans="1:15" x14ac:dyDescent="0.25">
      <c r="A30" s="94"/>
      <c r="B30" s="95"/>
      <c r="C30" s="95"/>
      <c r="D30" s="95"/>
      <c r="E30" s="95"/>
      <c r="F30" s="95"/>
      <c r="G30" s="95"/>
      <c r="H30" s="96"/>
      <c r="I30" s="1"/>
      <c r="J30" s="1"/>
      <c r="K30" s="1"/>
      <c r="L30" s="1"/>
      <c r="M30" s="1"/>
      <c r="N30" s="1"/>
      <c r="O30" s="8"/>
    </row>
    <row r="31" spans="1:15" x14ac:dyDescent="0.25">
      <c r="A31" s="94" t="s">
        <v>44</v>
      </c>
      <c r="B31" s="95"/>
      <c r="C31" s="95"/>
      <c r="D31" s="95"/>
      <c r="E31" s="95"/>
      <c r="F31" s="95"/>
      <c r="G31" s="95"/>
      <c r="H31" s="96"/>
      <c r="I31" s="14"/>
      <c r="J31" s="2"/>
      <c r="K31" s="2"/>
      <c r="L31" s="1"/>
      <c r="M31" s="1"/>
      <c r="N31" s="1"/>
      <c r="O31" s="8"/>
    </row>
    <row r="32" spans="1:15" x14ac:dyDescent="0.25">
      <c r="A32" s="94"/>
      <c r="B32" s="95"/>
      <c r="C32" s="95"/>
      <c r="D32" s="95"/>
      <c r="E32" s="95"/>
      <c r="F32" s="95"/>
      <c r="G32" s="95"/>
      <c r="H32" s="96"/>
      <c r="I32" s="106" t="s">
        <v>45</v>
      </c>
      <c r="J32" s="107"/>
      <c r="K32" s="1"/>
      <c r="L32" s="1"/>
      <c r="M32" s="1"/>
      <c r="N32" s="1"/>
      <c r="O32" s="8"/>
    </row>
    <row r="33" spans="1:19" x14ac:dyDescent="0.25">
      <c r="A33" s="14"/>
      <c r="B33" s="2"/>
      <c r="C33" s="2"/>
      <c r="D33" s="2"/>
      <c r="E33" s="1" t="s">
        <v>46</v>
      </c>
      <c r="F33" s="2"/>
      <c r="G33" s="2"/>
      <c r="H33" s="8"/>
      <c r="I33" s="1"/>
      <c r="J33" s="1"/>
      <c r="K33" s="1"/>
      <c r="L33" s="1"/>
      <c r="M33" s="1"/>
      <c r="N33" s="1"/>
      <c r="O33" s="8"/>
    </row>
    <row r="34" spans="1:19" x14ac:dyDescent="0.25">
      <c r="A34" s="31"/>
      <c r="B34" s="2"/>
      <c r="C34" s="2"/>
      <c r="D34" s="2"/>
      <c r="E34" s="2"/>
      <c r="F34" s="2"/>
      <c r="G34" s="2"/>
      <c r="H34" s="3"/>
      <c r="I34" s="2"/>
      <c r="J34" s="2"/>
      <c r="K34" s="2"/>
      <c r="L34" s="2"/>
      <c r="M34" s="2"/>
      <c r="N34" s="2"/>
      <c r="O34" s="3"/>
    </row>
    <row r="35" spans="1:19" x14ac:dyDescent="0.25">
      <c r="A35" s="100" t="s">
        <v>47</v>
      </c>
      <c r="B35" s="101"/>
      <c r="C35" s="101"/>
      <c r="D35" s="101"/>
      <c r="E35" s="101"/>
      <c r="F35" s="101"/>
      <c r="G35" s="101"/>
      <c r="H35" s="101"/>
      <c r="I35" s="101"/>
      <c r="J35" s="101"/>
      <c r="K35" s="101"/>
      <c r="L35" s="101"/>
      <c r="M35" s="101"/>
      <c r="N35" s="101"/>
      <c r="O35" s="102"/>
    </row>
    <row r="36" spans="1:19" x14ac:dyDescent="0.25">
      <c r="A36" s="91" t="s">
        <v>48</v>
      </c>
      <c r="B36" s="92"/>
      <c r="C36" s="92"/>
      <c r="D36" s="92"/>
      <c r="E36" s="92"/>
      <c r="F36" s="92"/>
      <c r="G36" s="92"/>
      <c r="H36" s="92"/>
      <c r="I36" s="92"/>
      <c r="J36" s="92"/>
      <c r="K36" s="92"/>
      <c r="L36" s="92"/>
      <c r="M36" s="92"/>
      <c r="N36" s="92"/>
      <c r="O36" s="93"/>
    </row>
    <row r="37" spans="1:19" x14ac:dyDescent="0.25">
      <c r="A37" s="94"/>
      <c r="B37" s="95"/>
      <c r="C37" s="95"/>
      <c r="D37" s="95"/>
      <c r="E37" s="95"/>
      <c r="F37" s="95"/>
      <c r="G37" s="95"/>
      <c r="H37" s="95"/>
      <c r="I37" s="95"/>
      <c r="J37" s="95"/>
      <c r="K37" s="95"/>
      <c r="L37" s="95"/>
      <c r="M37" s="95"/>
      <c r="N37" s="95"/>
      <c r="O37" s="96"/>
    </row>
    <row r="38" spans="1:19" x14ac:dyDescent="0.25">
      <c r="A38" s="94"/>
      <c r="B38" s="95"/>
      <c r="C38" s="95"/>
      <c r="D38" s="95"/>
      <c r="E38" s="95"/>
      <c r="F38" s="95"/>
      <c r="G38" s="95"/>
      <c r="H38" s="95"/>
      <c r="I38" s="95"/>
      <c r="J38" s="95"/>
      <c r="K38" s="95"/>
      <c r="L38" s="95"/>
      <c r="M38" s="95"/>
      <c r="N38" s="95"/>
      <c r="O38" s="96"/>
    </row>
    <row r="39" spans="1:19" ht="15" customHeight="1" x14ac:dyDescent="0.25">
      <c r="A39" s="94"/>
      <c r="B39" s="95"/>
      <c r="C39" s="95"/>
      <c r="D39" s="95"/>
      <c r="E39" s="95"/>
      <c r="F39" s="95"/>
      <c r="G39" s="95"/>
      <c r="H39" s="95"/>
      <c r="I39" s="95"/>
      <c r="J39" s="95"/>
      <c r="K39" s="95"/>
      <c r="L39" s="95"/>
      <c r="M39" s="95"/>
      <c r="N39" s="95"/>
      <c r="O39" s="96"/>
    </row>
    <row r="40" spans="1:19" ht="15" customHeight="1" x14ac:dyDescent="0.25">
      <c r="A40" s="94"/>
      <c r="B40" s="95"/>
      <c r="C40" s="95"/>
      <c r="D40" s="95"/>
      <c r="E40" s="95"/>
      <c r="F40" s="95"/>
      <c r="G40" s="95"/>
      <c r="H40" s="95"/>
      <c r="I40" s="95"/>
      <c r="J40" s="95"/>
      <c r="K40" s="95"/>
      <c r="L40" s="95"/>
      <c r="M40" s="95"/>
      <c r="N40" s="95"/>
      <c r="O40" s="96"/>
    </row>
    <row r="41" spans="1:19" x14ac:dyDescent="0.25">
      <c r="A41" s="97"/>
      <c r="B41" s="98"/>
      <c r="C41" s="98"/>
      <c r="D41" s="98"/>
      <c r="E41" s="98"/>
      <c r="F41" s="98"/>
      <c r="G41" s="98"/>
      <c r="H41" s="98"/>
      <c r="I41" s="98"/>
      <c r="J41" s="98"/>
      <c r="K41" s="98"/>
      <c r="L41" s="98"/>
      <c r="M41" s="98"/>
      <c r="N41" s="98"/>
      <c r="O41" s="99"/>
    </row>
    <row r="42" spans="1:19" ht="15" customHeight="1" x14ac:dyDescent="0.25">
      <c r="A42" s="94" t="s">
        <v>49</v>
      </c>
      <c r="B42" s="95"/>
      <c r="C42" s="95"/>
      <c r="D42" s="95"/>
      <c r="E42" s="95"/>
      <c r="F42" s="96"/>
      <c r="G42" s="117" t="s">
        <v>50</v>
      </c>
      <c r="H42" s="118"/>
      <c r="I42" s="28" t="s">
        <v>51</v>
      </c>
      <c r="J42" s="8"/>
      <c r="K42" s="95" t="s">
        <v>52</v>
      </c>
      <c r="L42" s="95"/>
      <c r="M42" s="95"/>
      <c r="N42" s="95"/>
      <c r="O42" s="96"/>
    </row>
    <row r="43" spans="1:19" x14ac:dyDescent="0.25">
      <c r="A43" s="94"/>
      <c r="B43" s="95"/>
      <c r="C43" s="95"/>
      <c r="D43" s="95"/>
      <c r="E43" s="95"/>
      <c r="F43" s="96"/>
      <c r="G43" s="1"/>
      <c r="H43" s="1"/>
      <c r="I43" s="1"/>
      <c r="J43" s="8"/>
      <c r="K43" s="95"/>
      <c r="L43" s="95"/>
      <c r="M43" s="95"/>
      <c r="N43" s="95"/>
      <c r="O43" s="96"/>
    </row>
    <row r="44" spans="1:19" x14ac:dyDescent="0.25">
      <c r="A44" s="94"/>
      <c r="B44" s="95"/>
      <c r="C44" s="95"/>
      <c r="D44" s="95"/>
      <c r="E44" s="95"/>
      <c r="F44" s="96"/>
      <c r="G44" s="1"/>
      <c r="H44" s="1"/>
      <c r="I44" s="1"/>
      <c r="J44" s="8"/>
      <c r="K44" s="95"/>
      <c r="L44" s="95"/>
      <c r="M44" s="95"/>
      <c r="N44" s="95"/>
      <c r="O44" s="96"/>
    </row>
    <row r="45" spans="1:19" x14ac:dyDescent="0.25">
      <c r="A45" s="94"/>
      <c r="B45" s="95"/>
      <c r="C45" s="95"/>
      <c r="D45" s="95"/>
      <c r="E45" s="95"/>
      <c r="F45" s="96"/>
      <c r="G45" s="1"/>
      <c r="H45" s="1"/>
      <c r="I45" s="1"/>
      <c r="J45" s="8"/>
      <c r="K45" s="95"/>
      <c r="L45" s="95"/>
      <c r="M45" s="95"/>
      <c r="N45" s="95"/>
      <c r="O45" s="96"/>
    </row>
    <row r="46" spans="1:19" x14ac:dyDescent="0.25">
      <c r="A46" s="94"/>
      <c r="B46" s="95"/>
      <c r="C46" s="95"/>
      <c r="D46" s="95"/>
      <c r="E46" s="95"/>
      <c r="F46" s="96"/>
      <c r="G46" s="1"/>
      <c r="H46" s="1"/>
      <c r="I46" s="1"/>
      <c r="J46" s="8"/>
      <c r="K46" s="95"/>
      <c r="L46" s="95"/>
      <c r="M46" s="95"/>
      <c r="N46" s="95"/>
      <c r="O46" s="96"/>
    </row>
    <row r="47" spans="1:19" x14ac:dyDescent="0.25">
      <c r="A47" s="15"/>
      <c r="B47" s="1"/>
      <c r="C47" s="1"/>
      <c r="D47" s="1"/>
      <c r="E47" s="1"/>
      <c r="F47" s="8"/>
      <c r="G47" s="1"/>
      <c r="H47" s="1"/>
      <c r="I47" s="1"/>
      <c r="J47" s="8"/>
      <c r="K47" s="95"/>
      <c r="L47" s="95"/>
      <c r="M47" s="95"/>
      <c r="N47" s="95"/>
      <c r="O47" s="96"/>
    </row>
    <row r="48" spans="1:19" x14ac:dyDescent="0.25">
      <c r="A48" s="15"/>
      <c r="B48" s="1"/>
      <c r="C48" s="1"/>
      <c r="D48" s="1"/>
      <c r="E48" s="116">
        <f ca="1">J2</f>
        <v>45980</v>
      </c>
      <c r="F48" s="115"/>
      <c r="G48" s="54" t="s">
        <v>86</v>
      </c>
      <c r="H48" s="1"/>
      <c r="I48" s="1"/>
      <c r="J48" s="8"/>
      <c r="K48" s="1"/>
      <c r="L48" s="1"/>
      <c r="M48" s="1"/>
      <c r="N48" s="114"/>
      <c r="O48" s="115"/>
      <c r="S48" t="s">
        <v>87</v>
      </c>
    </row>
    <row r="49" spans="1:15" x14ac:dyDescent="0.25">
      <c r="A49" s="113" t="s">
        <v>45</v>
      </c>
      <c r="B49" s="111"/>
      <c r="C49" s="111"/>
      <c r="D49" s="2"/>
      <c r="E49" s="29" t="s">
        <v>53</v>
      </c>
      <c r="F49" s="4"/>
      <c r="G49" s="2"/>
      <c r="H49" s="2"/>
      <c r="I49" s="2"/>
      <c r="J49" s="3"/>
      <c r="K49" s="111" t="s">
        <v>54</v>
      </c>
      <c r="L49" s="111"/>
      <c r="M49" s="2"/>
      <c r="N49" s="111" t="s">
        <v>55</v>
      </c>
      <c r="O49" s="112"/>
    </row>
  </sheetData>
  <mergeCells count="50">
    <mergeCell ref="K6:L6"/>
    <mergeCell ref="I6:J6"/>
    <mergeCell ref="I7:J7"/>
    <mergeCell ref="I8:J8"/>
    <mergeCell ref="B7:C7"/>
    <mergeCell ref="I3:J3"/>
    <mergeCell ref="K3:O3"/>
    <mergeCell ref="A1:E1"/>
    <mergeCell ref="A2:E2"/>
    <mergeCell ref="J2:K2"/>
    <mergeCell ref="G24:M24"/>
    <mergeCell ref="A36:O41"/>
    <mergeCell ref="A35:O35"/>
    <mergeCell ref="A31:H32"/>
    <mergeCell ref="F8:G8"/>
    <mergeCell ref="A9:F11"/>
    <mergeCell ref="K8:L8"/>
    <mergeCell ref="A15:G15"/>
    <mergeCell ref="B12:C12"/>
    <mergeCell ref="G25:M25"/>
    <mergeCell ref="I28:O29"/>
    <mergeCell ref="I32:J32"/>
    <mergeCell ref="A28:H30"/>
    <mergeCell ref="G26:M26"/>
    <mergeCell ref="G27:M27"/>
    <mergeCell ref="J15:L15"/>
    <mergeCell ref="N49:O49"/>
    <mergeCell ref="A42:F46"/>
    <mergeCell ref="K42:O47"/>
    <mergeCell ref="A49:C49"/>
    <mergeCell ref="N48:O48"/>
    <mergeCell ref="E48:F48"/>
    <mergeCell ref="G42:H42"/>
    <mergeCell ref="K49:L49"/>
    <mergeCell ref="V6:W6"/>
    <mergeCell ref="N19:O19"/>
    <mergeCell ref="G21:M21"/>
    <mergeCell ref="G22:M22"/>
    <mergeCell ref="G23:M23"/>
    <mergeCell ref="I13:J13"/>
    <mergeCell ref="A13:H13"/>
    <mergeCell ref="Q7:R7"/>
    <mergeCell ref="Q9:R9"/>
    <mergeCell ref="A19:B19"/>
    <mergeCell ref="C19:D19"/>
    <mergeCell ref="E19:F19"/>
    <mergeCell ref="G20:M20"/>
    <mergeCell ref="G19:M19"/>
    <mergeCell ref="A4:F6"/>
    <mergeCell ref="K7:L7"/>
  </mergeCells>
  <printOptions horizontalCentered="1"/>
  <pageMargins left="0.11811023622047245" right="0.11811023622047245" top="0.39370078740157483" bottom="0.3937007874015748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31" r:id="rId4" name="Check Box 11">
              <controlPr defaultSize="0" autoFill="0" autoLine="0" autoPict="0">
                <anchor moveWithCells="1">
                  <from>
                    <xdr:col>7</xdr:col>
                    <xdr:colOff>19050</xdr:colOff>
                    <xdr:row>6</xdr:row>
                    <xdr:rowOff>0</xdr:rowOff>
                  </from>
                  <to>
                    <xdr:col>8</xdr:col>
                    <xdr:colOff>209550</xdr:colOff>
                    <xdr:row>7</xdr:row>
                    <xdr:rowOff>19050</xdr:rowOff>
                  </to>
                </anchor>
              </controlPr>
            </control>
          </mc:Choice>
        </mc:AlternateContent>
        <mc:AlternateContent xmlns:mc="http://schemas.openxmlformats.org/markup-compatibility/2006">
          <mc:Choice Requires="x14">
            <control shapeId="5132" r:id="rId5" name="Check Box 12">
              <controlPr defaultSize="0" autoFill="0" autoLine="0" autoPict="0">
                <anchor moveWithCells="1">
                  <from>
                    <xdr:col>7</xdr:col>
                    <xdr:colOff>0</xdr:colOff>
                    <xdr:row>11</xdr:row>
                    <xdr:rowOff>0</xdr:rowOff>
                  </from>
                  <to>
                    <xdr:col>8</xdr:col>
                    <xdr:colOff>190500</xdr:colOff>
                    <xdr:row>12</xdr:row>
                    <xdr:rowOff>19050</xdr:rowOff>
                  </to>
                </anchor>
              </controlPr>
            </control>
          </mc:Choice>
        </mc:AlternateContent>
        <mc:AlternateContent xmlns:mc="http://schemas.openxmlformats.org/markup-compatibility/2006">
          <mc:Choice Requires="x14">
            <control shapeId="5133" r:id="rId6" name="Check Box 13">
              <controlPr defaultSize="0" autoFill="0" autoLine="0" autoPict="0">
                <anchor moveWithCells="1">
                  <from>
                    <xdr:col>0</xdr:col>
                    <xdr:colOff>19050</xdr:colOff>
                    <xdr:row>13</xdr:row>
                    <xdr:rowOff>0</xdr:rowOff>
                  </from>
                  <to>
                    <xdr:col>2</xdr:col>
                    <xdr:colOff>133350</xdr:colOff>
                    <xdr:row>14</xdr:row>
                    <xdr:rowOff>19050</xdr:rowOff>
                  </to>
                </anchor>
              </controlPr>
            </control>
          </mc:Choice>
        </mc:AlternateContent>
        <mc:AlternateContent xmlns:mc="http://schemas.openxmlformats.org/markup-compatibility/2006">
          <mc:Choice Requires="x14">
            <control shapeId="5134" r:id="rId7" name="Check Box 14">
              <controlPr defaultSize="0" autoFill="0" autoLine="0" autoPict="0">
                <anchor moveWithCells="1">
                  <from>
                    <xdr:col>2</xdr:col>
                    <xdr:colOff>19050</xdr:colOff>
                    <xdr:row>13</xdr:row>
                    <xdr:rowOff>0</xdr:rowOff>
                  </from>
                  <to>
                    <xdr:col>4</xdr:col>
                    <xdr:colOff>190500</xdr:colOff>
                    <xdr:row>14</xdr:row>
                    <xdr:rowOff>19050</xdr:rowOff>
                  </to>
                </anchor>
              </controlPr>
            </control>
          </mc:Choice>
        </mc:AlternateContent>
        <mc:AlternateContent xmlns:mc="http://schemas.openxmlformats.org/markup-compatibility/2006">
          <mc:Choice Requires="x14">
            <control shapeId="5135" r:id="rId8" name="Check Box 15">
              <controlPr defaultSize="0" autoFill="0" autoLine="0" autoPict="0">
                <anchor moveWithCells="1">
                  <from>
                    <xdr:col>4</xdr:col>
                    <xdr:colOff>19050</xdr:colOff>
                    <xdr:row>13</xdr:row>
                    <xdr:rowOff>0</xdr:rowOff>
                  </from>
                  <to>
                    <xdr:col>6</xdr:col>
                    <xdr:colOff>152400</xdr:colOff>
                    <xdr:row>14</xdr:row>
                    <xdr:rowOff>19050</xdr:rowOff>
                  </to>
                </anchor>
              </controlPr>
            </control>
          </mc:Choice>
        </mc:AlternateContent>
        <mc:AlternateContent xmlns:mc="http://schemas.openxmlformats.org/markup-compatibility/2006">
          <mc:Choice Requires="x14">
            <control shapeId="5136" r:id="rId9" name="Check Box 16">
              <controlPr defaultSize="0" autoFill="0" autoLine="0" autoPict="0">
                <anchor moveWithCells="1">
                  <from>
                    <xdr:col>12</xdr:col>
                    <xdr:colOff>409575</xdr:colOff>
                    <xdr:row>11</xdr:row>
                    <xdr:rowOff>180975</xdr:rowOff>
                  </from>
                  <to>
                    <xdr:col>14</xdr:col>
                    <xdr:colOff>285750</xdr:colOff>
                    <xdr:row>13</xdr:row>
                    <xdr:rowOff>9525</xdr:rowOff>
                  </to>
                </anchor>
              </controlPr>
            </control>
          </mc:Choice>
        </mc:AlternateContent>
        <mc:AlternateContent xmlns:mc="http://schemas.openxmlformats.org/markup-compatibility/2006">
          <mc:Choice Requires="x14">
            <control shapeId="5137" r:id="rId10" name="Check Box 17">
              <controlPr defaultSize="0" autoFill="0" autoLine="0" autoPict="0">
                <anchor moveWithCells="1">
                  <from>
                    <xdr:col>7</xdr:col>
                    <xdr:colOff>590550</xdr:colOff>
                    <xdr:row>42</xdr:row>
                    <xdr:rowOff>0</xdr:rowOff>
                  </from>
                  <to>
                    <xdr:col>9</xdr:col>
                    <xdr:colOff>171450</xdr:colOff>
                    <xdr:row>43</xdr:row>
                    <xdr:rowOff>19050</xdr:rowOff>
                  </to>
                </anchor>
              </controlPr>
            </control>
          </mc:Choice>
        </mc:AlternateContent>
        <mc:AlternateContent xmlns:mc="http://schemas.openxmlformats.org/markup-compatibility/2006">
          <mc:Choice Requires="x14">
            <control shapeId="5138" r:id="rId11" name="Check Box 18">
              <controlPr defaultSize="0" autoFill="0" autoLine="0" autoPict="0">
                <anchor moveWithCells="1">
                  <from>
                    <xdr:col>7</xdr:col>
                    <xdr:colOff>590550</xdr:colOff>
                    <xdr:row>43</xdr:row>
                    <xdr:rowOff>9525</xdr:rowOff>
                  </from>
                  <to>
                    <xdr:col>9</xdr:col>
                    <xdr:colOff>438150</xdr:colOff>
                    <xdr:row>45</xdr:row>
                    <xdr:rowOff>0</xdr:rowOff>
                  </to>
                </anchor>
              </controlPr>
            </control>
          </mc:Choice>
        </mc:AlternateContent>
        <mc:AlternateContent xmlns:mc="http://schemas.openxmlformats.org/markup-compatibility/2006">
          <mc:Choice Requires="x14">
            <control shapeId="5139" r:id="rId12" name="Check Box 19">
              <controlPr defaultSize="0" autoFill="0" autoLine="0" autoPict="0">
                <anchor moveWithCells="1">
                  <from>
                    <xdr:col>7</xdr:col>
                    <xdr:colOff>590550</xdr:colOff>
                    <xdr:row>45</xdr:row>
                    <xdr:rowOff>0</xdr:rowOff>
                  </from>
                  <to>
                    <xdr:col>9</xdr:col>
                    <xdr:colOff>485775</xdr:colOff>
                    <xdr:row>46</xdr:row>
                    <xdr:rowOff>19050</xdr:rowOff>
                  </to>
                </anchor>
              </controlPr>
            </control>
          </mc:Choice>
        </mc:AlternateContent>
        <mc:AlternateContent xmlns:mc="http://schemas.openxmlformats.org/markup-compatibility/2006">
          <mc:Choice Requires="x14">
            <control shapeId="5140" r:id="rId13" name="Check Box 20">
              <controlPr defaultSize="0" autoFill="0" autoLine="0" autoPict="0">
                <anchor moveWithCells="1">
                  <from>
                    <xdr:col>6</xdr:col>
                    <xdr:colOff>19050</xdr:colOff>
                    <xdr:row>41</xdr:row>
                    <xdr:rowOff>171450</xdr:rowOff>
                  </from>
                  <to>
                    <xdr:col>7</xdr:col>
                    <xdr:colOff>209550</xdr:colOff>
                    <xdr:row>43</xdr:row>
                    <xdr:rowOff>0</xdr:rowOff>
                  </to>
                </anchor>
              </controlPr>
            </control>
          </mc:Choice>
        </mc:AlternateContent>
        <mc:AlternateContent xmlns:mc="http://schemas.openxmlformats.org/markup-compatibility/2006">
          <mc:Choice Requires="x14">
            <control shapeId="5141" r:id="rId14" name="Check Box 21">
              <controlPr defaultSize="0" autoFill="0" autoLine="0" autoPict="0">
                <anchor moveWithCells="1">
                  <from>
                    <xdr:col>6</xdr:col>
                    <xdr:colOff>19050</xdr:colOff>
                    <xdr:row>42</xdr:row>
                    <xdr:rowOff>180975</xdr:rowOff>
                  </from>
                  <to>
                    <xdr:col>7</xdr:col>
                    <xdr:colOff>209550</xdr:colOff>
                    <xdr:row>44</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9FE6-70AA-4448-A1E0-AE0DBE22FEE8}">
  <sheetPr>
    <pageSetUpPr fitToPage="1"/>
  </sheetPr>
  <dimension ref="A1:F39"/>
  <sheetViews>
    <sheetView zoomScaleNormal="100" workbookViewId="0">
      <selection activeCell="D21" sqref="D21:E21"/>
    </sheetView>
  </sheetViews>
  <sheetFormatPr defaultColWidth="8.7109375" defaultRowHeight="15" x14ac:dyDescent="0.25"/>
  <cols>
    <col min="1" max="1" width="10.85546875" style="42" customWidth="1"/>
    <col min="2" max="2" width="23.42578125" customWidth="1"/>
    <col min="3" max="3" width="14.7109375" customWidth="1"/>
    <col min="4" max="4" width="10.7109375" customWidth="1"/>
    <col min="5" max="5" width="22.5703125" customWidth="1"/>
    <col min="6" max="6" width="10.7109375" customWidth="1"/>
  </cols>
  <sheetData>
    <row r="1" spans="1:6" ht="15.75" thickBot="1" x14ac:dyDescent="0.3">
      <c r="C1" s="143" t="s">
        <v>56</v>
      </c>
      <c r="D1" s="144"/>
      <c r="E1" s="149">
        <f ca="1">TODAY()</f>
        <v>45980</v>
      </c>
      <c r="F1" s="146"/>
    </row>
    <row r="2" spans="1:6" ht="15.75" thickBot="1" x14ac:dyDescent="0.3">
      <c r="C2" s="143" t="s">
        <v>57</v>
      </c>
      <c r="D2" s="144"/>
      <c r="E2" s="145">
        <v>6.25E-2</v>
      </c>
      <c r="F2" s="146"/>
    </row>
    <row r="3" spans="1:6" ht="15.75" thickBot="1" x14ac:dyDescent="0.3">
      <c r="C3" s="143" t="s">
        <v>59</v>
      </c>
      <c r="D3" s="144"/>
      <c r="E3" s="147">
        <v>53192</v>
      </c>
      <c r="F3" s="148"/>
    </row>
    <row r="4" spans="1:6" x14ac:dyDescent="0.25">
      <c r="C4" s="143" t="s">
        <v>60</v>
      </c>
      <c r="D4" s="144"/>
      <c r="E4" s="147">
        <f>E3</f>
        <v>53192</v>
      </c>
      <c r="F4" s="148"/>
    </row>
    <row r="5" spans="1:6" ht="19.5" thickBot="1" x14ac:dyDescent="0.35">
      <c r="A5" s="155" t="s">
        <v>61</v>
      </c>
      <c r="B5" s="155"/>
      <c r="C5" s="155"/>
      <c r="D5" s="155"/>
      <c r="E5" s="155"/>
      <c r="F5" s="155"/>
    </row>
    <row r="6" spans="1:6" ht="15.95" customHeight="1" thickBot="1" x14ac:dyDescent="0.3">
      <c r="A6" s="51">
        <v>1</v>
      </c>
      <c r="B6" s="132" t="s">
        <v>62</v>
      </c>
      <c r="C6" s="133"/>
      <c r="D6" s="133"/>
      <c r="E6" s="134"/>
      <c r="F6" s="48" t="s">
        <v>63</v>
      </c>
    </row>
    <row r="7" spans="1:6" ht="15.75" thickBot="1" x14ac:dyDescent="0.3">
      <c r="A7" s="50">
        <v>2</v>
      </c>
      <c r="B7" s="132" t="s">
        <v>64</v>
      </c>
      <c r="C7" s="133"/>
      <c r="D7" s="133"/>
      <c r="E7" s="134"/>
      <c r="F7" s="48" t="s">
        <v>63</v>
      </c>
    </row>
    <row r="8" spans="1:6" ht="15.95" customHeight="1" thickBot="1" x14ac:dyDescent="0.3">
      <c r="A8" s="50">
        <v>3</v>
      </c>
      <c r="B8" s="132" t="s">
        <v>88</v>
      </c>
      <c r="C8" s="133"/>
      <c r="D8" s="133"/>
      <c r="E8" s="134"/>
      <c r="F8" s="48" t="s">
        <v>63</v>
      </c>
    </row>
    <row r="9" spans="1:6" ht="15.75" thickBot="1" x14ac:dyDescent="0.3">
      <c r="A9" s="50">
        <v>4</v>
      </c>
      <c r="B9" s="132" t="s">
        <v>65</v>
      </c>
      <c r="C9" s="133"/>
      <c r="D9" s="133"/>
      <c r="E9" s="134"/>
      <c r="F9" s="48" t="s">
        <v>63</v>
      </c>
    </row>
    <row r="10" spans="1:6" ht="15" customHeight="1" thickBot="1" x14ac:dyDescent="0.3">
      <c r="A10" s="50">
        <v>5</v>
      </c>
      <c r="B10" s="132" t="s">
        <v>66</v>
      </c>
      <c r="C10" s="133"/>
      <c r="D10" s="133"/>
      <c r="E10" s="134"/>
      <c r="F10" s="48" t="s">
        <v>63</v>
      </c>
    </row>
    <row r="11" spans="1:6" ht="18.95" customHeight="1" thickBot="1" x14ac:dyDescent="0.3">
      <c r="A11" s="50">
        <v>6</v>
      </c>
      <c r="B11" s="132" t="s">
        <v>67</v>
      </c>
      <c r="C11" s="133"/>
      <c r="D11" s="133"/>
      <c r="E11" s="134"/>
      <c r="F11" s="48" t="s">
        <v>63</v>
      </c>
    </row>
    <row r="12" spans="1:6" ht="15.75" thickBot="1" x14ac:dyDescent="0.3">
      <c r="A12" s="49">
        <v>7</v>
      </c>
      <c r="B12" s="132" t="s">
        <v>68</v>
      </c>
      <c r="C12" s="133"/>
      <c r="D12" s="133"/>
      <c r="E12" s="134"/>
      <c r="F12" s="48" t="s">
        <v>63</v>
      </c>
    </row>
    <row r="13" spans="1:6" ht="18.95" customHeight="1" x14ac:dyDescent="0.25">
      <c r="A13" s="139"/>
      <c r="B13" s="140"/>
      <c r="C13" s="140"/>
      <c r="D13" s="140"/>
      <c r="E13" s="140"/>
      <c r="F13" s="141"/>
    </row>
    <row r="14" spans="1:6" ht="15.75" x14ac:dyDescent="0.25">
      <c r="A14" s="46" t="s">
        <v>69</v>
      </c>
      <c r="B14" s="47" t="s">
        <v>70</v>
      </c>
      <c r="C14" s="47" t="s">
        <v>71</v>
      </c>
      <c r="D14" s="142" t="s">
        <v>72</v>
      </c>
      <c r="E14" s="142"/>
      <c r="F14" s="47" t="s">
        <v>73</v>
      </c>
    </row>
    <row r="15" spans="1:6" ht="18.95" customHeight="1" x14ac:dyDescent="0.25">
      <c r="A15" s="46"/>
      <c r="B15" s="46" t="s">
        <v>89</v>
      </c>
      <c r="C15" s="45" t="s">
        <v>75</v>
      </c>
      <c r="D15" s="137"/>
      <c r="E15" s="138"/>
      <c r="F15" s="45" t="s">
        <v>76</v>
      </c>
    </row>
    <row r="16" spans="1:6" ht="18.95" customHeight="1" x14ac:dyDescent="0.25">
      <c r="A16" s="46">
        <f>E4</f>
        <v>53192</v>
      </c>
      <c r="B16" s="45" t="s">
        <v>74</v>
      </c>
      <c r="C16" s="45" t="s">
        <v>75</v>
      </c>
      <c r="D16" s="137"/>
      <c r="E16" s="138"/>
      <c r="F16" s="45" t="s">
        <v>76</v>
      </c>
    </row>
    <row r="17" spans="1:6" ht="18.95" customHeight="1" x14ac:dyDescent="0.3">
      <c r="A17" s="44"/>
      <c r="B17" s="43"/>
      <c r="C17" s="43"/>
      <c r="D17" s="131"/>
      <c r="E17" s="131"/>
      <c r="F17" s="43"/>
    </row>
    <row r="18" spans="1:6" ht="18.95" customHeight="1" x14ac:dyDescent="0.3">
      <c r="A18" s="44"/>
      <c r="B18" s="43"/>
      <c r="C18" s="43"/>
      <c r="D18" s="131"/>
      <c r="E18" s="131"/>
      <c r="F18" s="43"/>
    </row>
    <row r="19" spans="1:6" ht="18.95" customHeight="1" x14ac:dyDescent="0.3">
      <c r="A19" s="44"/>
      <c r="B19" s="43"/>
      <c r="C19" s="43"/>
      <c r="D19" s="131"/>
      <c r="E19" s="131"/>
      <c r="F19" s="43"/>
    </row>
    <row r="20" spans="1:6" ht="18.95" customHeight="1" x14ac:dyDescent="0.3">
      <c r="A20" s="44"/>
      <c r="B20" s="43"/>
      <c r="C20" s="43"/>
      <c r="D20" s="131"/>
      <c r="E20" s="131"/>
      <c r="F20" s="43"/>
    </row>
    <row r="21" spans="1:6" ht="18.95" customHeight="1" x14ac:dyDescent="0.3">
      <c r="A21" s="44"/>
      <c r="B21" s="43"/>
      <c r="C21" s="43"/>
      <c r="D21" s="131"/>
      <c r="E21" s="131"/>
      <c r="F21" s="43"/>
    </row>
    <row r="22" spans="1:6" ht="18.600000000000001" customHeight="1" x14ac:dyDescent="0.3">
      <c r="A22" s="44"/>
      <c r="B22" s="43"/>
      <c r="C22" s="43"/>
      <c r="D22" s="131"/>
      <c r="E22" s="131"/>
      <c r="F22" s="43"/>
    </row>
    <row r="23" spans="1:6" ht="18.95" customHeight="1" x14ac:dyDescent="0.3">
      <c r="A23" s="44"/>
      <c r="B23" s="43"/>
      <c r="C23" s="43"/>
      <c r="D23" s="131"/>
      <c r="E23" s="131"/>
      <c r="F23" s="43"/>
    </row>
    <row r="24" spans="1:6" ht="18.95" customHeight="1" x14ac:dyDescent="0.3">
      <c r="A24" s="44"/>
      <c r="B24" s="43"/>
      <c r="C24" s="43"/>
      <c r="D24" s="131"/>
      <c r="E24" s="131"/>
      <c r="F24" s="43"/>
    </row>
    <row r="25" spans="1:6" ht="18.95" customHeight="1" x14ac:dyDescent="0.3">
      <c r="A25" s="44"/>
      <c r="B25" s="43"/>
      <c r="C25" s="43"/>
      <c r="D25" s="131"/>
      <c r="E25" s="131"/>
      <c r="F25" s="43"/>
    </row>
    <row r="26" spans="1:6" ht="18.95" customHeight="1" x14ac:dyDescent="0.3">
      <c r="A26" s="44"/>
      <c r="B26" s="43"/>
      <c r="C26" s="43"/>
      <c r="D26" s="131"/>
      <c r="E26" s="131"/>
      <c r="F26" s="43"/>
    </row>
    <row r="27" spans="1:6" ht="18.95" customHeight="1" x14ac:dyDescent="0.3">
      <c r="A27" s="44"/>
      <c r="B27" s="43"/>
      <c r="C27" s="43"/>
      <c r="D27" s="131"/>
      <c r="E27" s="131"/>
      <c r="F27" s="43"/>
    </row>
    <row r="28" spans="1:6" ht="18.95" customHeight="1" x14ac:dyDescent="0.3">
      <c r="A28" s="44"/>
      <c r="B28" s="43"/>
      <c r="C28" s="43"/>
      <c r="D28" s="131"/>
      <c r="E28" s="131"/>
      <c r="F28" s="43"/>
    </row>
    <row r="29" spans="1:6" ht="18.95" customHeight="1" x14ac:dyDescent="0.3">
      <c r="A29" s="44"/>
      <c r="B29" s="43"/>
      <c r="C29" s="43"/>
      <c r="D29" s="131"/>
      <c r="E29" s="131"/>
      <c r="F29" s="43"/>
    </row>
    <row r="30" spans="1:6" ht="18.95" customHeight="1" x14ac:dyDescent="0.3">
      <c r="A30" s="44"/>
      <c r="B30" s="43"/>
      <c r="C30" s="43"/>
      <c r="D30" s="131"/>
      <c r="E30" s="131"/>
      <c r="F30" s="43"/>
    </row>
    <row r="31" spans="1:6" ht="18.95" customHeight="1" x14ac:dyDescent="0.3">
      <c r="A31" s="44"/>
      <c r="B31" s="43"/>
      <c r="C31" s="43"/>
      <c r="D31" s="131"/>
      <c r="E31" s="131"/>
      <c r="F31" s="43"/>
    </row>
    <row r="32" spans="1:6" ht="18.95" customHeight="1" x14ac:dyDescent="0.3">
      <c r="A32" s="44"/>
      <c r="B32" s="43"/>
      <c r="C32" s="43"/>
      <c r="D32" s="131"/>
      <c r="E32" s="131"/>
      <c r="F32" s="43"/>
    </row>
    <row r="33" spans="1:6" ht="18.95" customHeight="1" x14ac:dyDescent="0.25">
      <c r="A33" s="136" t="s">
        <v>77</v>
      </c>
      <c r="B33" s="136"/>
      <c r="C33" s="136"/>
      <c r="D33" s="136"/>
      <c r="E33" s="136"/>
      <c r="F33" s="136"/>
    </row>
    <row r="34" spans="1:6" ht="18.95" customHeight="1" x14ac:dyDescent="0.25">
      <c r="A34" s="150" t="s">
        <v>78</v>
      </c>
      <c r="B34" s="151"/>
      <c r="C34" s="152" t="s">
        <v>79</v>
      </c>
      <c r="D34" s="153"/>
      <c r="E34" s="153"/>
      <c r="F34" s="154"/>
    </row>
    <row r="35" spans="1:6" ht="18.95" customHeight="1" x14ac:dyDescent="0.25">
      <c r="A35" s="135" t="s">
        <v>90</v>
      </c>
      <c r="B35" s="135"/>
      <c r="C35" s="135"/>
      <c r="D35" s="135"/>
      <c r="E35" s="135"/>
      <c r="F35" s="135"/>
    </row>
    <row r="36" spans="1:6" ht="18.95" customHeight="1" x14ac:dyDescent="0.25">
      <c r="A36" s="135"/>
      <c r="B36" s="135"/>
      <c r="C36" s="135"/>
      <c r="D36" s="135"/>
      <c r="E36" s="135"/>
      <c r="F36" s="135"/>
    </row>
    <row r="37" spans="1:6" ht="14.45" customHeight="1" x14ac:dyDescent="0.25">
      <c r="A37" s="135"/>
      <c r="B37" s="135"/>
      <c r="C37" s="135"/>
      <c r="D37" s="135"/>
      <c r="E37" s="135"/>
      <c r="F37" s="135"/>
    </row>
    <row r="38" spans="1:6" ht="14.45" customHeight="1" x14ac:dyDescent="0.25">
      <c r="A38" s="135"/>
      <c r="B38" s="135"/>
      <c r="C38" s="135"/>
      <c r="D38" s="135"/>
      <c r="E38" s="135"/>
      <c r="F38" s="135"/>
    </row>
    <row r="39" spans="1:6" x14ac:dyDescent="0.25">
      <c r="A39" s="135"/>
      <c r="B39" s="135"/>
      <c r="C39" s="135"/>
      <c r="D39" s="135"/>
      <c r="E39" s="135"/>
      <c r="F39" s="135"/>
    </row>
  </sheetData>
  <mergeCells count="40">
    <mergeCell ref="A33:F33"/>
    <mergeCell ref="A34:B34"/>
    <mergeCell ref="C34:F34"/>
    <mergeCell ref="A35:F39"/>
    <mergeCell ref="D27:E27"/>
    <mergeCell ref="D28:E28"/>
    <mergeCell ref="D29:E29"/>
    <mergeCell ref="D30:E30"/>
    <mergeCell ref="D31:E31"/>
    <mergeCell ref="D32:E32"/>
    <mergeCell ref="D26:E26"/>
    <mergeCell ref="D15:E15"/>
    <mergeCell ref="D16:E16"/>
    <mergeCell ref="D17:E17"/>
    <mergeCell ref="D18:E18"/>
    <mergeCell ref="D19:E19"/>
    <mergeCell ref="D20:E20"/>
    <mergeCell ref="D21:E21"/>
    <mergeCell ref="D22:E22"/>
    <mergeCell ref="D23:E23"/>
    <mergeCell ref="D24:E24"/>
    <mergeCell ref="D25:E25"/>
    <mergeCell ref="D14:E14"/>
    <mergeCell ref="C4:D4"/>
    <mergeCell ref="E4:F4"/>
    <mergeCell ref="A5:F5"/>
    <mergeCell ref="B6:E6"/>
    <mergeCell ref="B7:E7"/>
    <mergeCell ref="B8:E8"/>
    <mergeCell ref="B9:E9"/>
    <mergeCell ref="B10:E10"/>
    <mergeCell ref="B11:E11"/>
    <mergeCell ref="B12:E12"/>
    <mergeCell ref="A13:F13"/>
    <mergeCell ref="C1:D1"/>
    <mergeCell ref="E1:F1"/>
    <mergeCell ref="C2:D2"/>
    <mergeCell ref="E2:F2"/>
    <mergeCell ref="C3:D3"/>
    <mergeCell ref="E3:F3"/>
  </mergeCells>
  <conditionalFormatting sqref="A15:A16">
    <cfRule type="duplicateValues" dxfId="5" priority="1"/>
    <cfRule type="duplicateValues" dxfId="4" priority="2"/>
  </conditionalFormatting>
  <pageMargins left="0.7" right="0.7" top="0.75" bottom="0.75" header="0.3" footer="0.3"/>
  <pageSetup scale="97" fitToHeight="0" orientation="portrait" r:id="rId1"/>
  <headerFooter>
    <oddHeader>&amp;C&amp;"-,Bold Italic"&amp;20&amp;UVoilà Van Pre-Load Form</oddHeader>
    <oddFooter>&amp;L&amp;8Document No: CFC233.02 – Voilà Van Pre-Load Form
Revision Date: March 9, 2022
Issue Date: September 30, 2020&amp;R&amp;8Page 1 of 1
Revision Level: 2
Supercedes:CFC233.01</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4C5DF-2B66-4A22-A52C-F29198DC3B8B}">
  <sheetPr>
    <pageSetUpPr fitToPage="1"/>
  </sheetPr>
  <dimension ref="A1:O49"/>
  <sheetViews>
    <sheetView showGridLines="0" tabSelected="1" zoomScale="145" zoomScaleNormal="145" workbookViewId="0">
      <selection activeCell="T12" sqref="T12"/>
    </sheetView>
  </sheetViews>
  <sheetFormatPr defaultRowHeight="15" x14ac:dyDescent="0.25"/>
  <cols>
    <col min="1" max="1" width="4.7109375" customWidth="1"/>
    <col min="2" max="2" width="5.5703125" customWidth="1"/>
    <col min="3" max="4" width="4.7109375" customWidth="1"/>
    <col min="5" max="5" width="5.28515625" bestFit="1" customWidth="1"/>
    <col min="6" max="6" width="4.7109375" customWidth="1"/>
    <col min="14" max="15" width="4.7109375" customWidth="1"/>
  </cols>
  <sheetData>
    <row r="1" spans="1:15" x14ac:dyDescent="0.25">
      <c r="A1" s="55" t="s">
        <v>0</v>
      </c>
      <c r="B1" s="55"/>
      <c r="C1" s="55"/>
      <c r="D1" s="55"/>
      <c r="E1" s="55"/>
      <c r="F1" s="1"/>
      <c r="G1" s="1"/>
      <c r="H1" s="1"/>
      <c r="I1" s="2"/>
      <c r="J1" s="2"/>
      <c r="K1" s="2"/>
      <c r="L1" s="2"/>
      <c r="M1" s="2"/>
      <c r="N1" s="2"/>
      <c r="O1" s="1"/>
    </row>
    <row r="2" spans="1:15" x14ac:dyDescent="0.25">
      <c r="A2" s="56" t="s">
        <v>1</v>
      </c>
      <c r="B2" s="56"/>
      <c r="C2" s="56"/>
      <c r="D2" s="56"/>
      <c r="E2" s="56"/>
      <c r="F2" s="2"/>
      <c r="G2" s="2"/>
      <c r="H2" s="3"/>
      <c r="I2" s="2" t="s">
        <v>2</v>
      </c>
      <c r="J2" s="57">
        <f ca="1">TODAY()</f>
        <v>45980</v>
      </c>
      <c r="K2" s="58"/>
      <c r="L2" s="2"/>
      <c r="M2" s="2"/>
      <c r="N2" s="2"/>
      <c r="O2" s="4"/>
    </row>
    <row r="3" spans="1:15" x14ac:dyDescent="0.25">
      <c r="A3" s="5" t="s">
        <v>3</v>
      </c>
      <c r="B3" s="1"/>
      <c r="C3" s="6"/>
      <c r="D3" s="6"/>
      <c r="E3" s="6"/>
      <c r="F3" s="6"/>
      <c r="G3" s="1"/>
      <c r="H3" s="7"/>
      <c r="I3" s="71" t="s">
        <v>4</v>
      </c>
      <c r="J3" s="60"/>
      <c r="K3" s="72" t="str">
        <f ca="1">"V_" &amp; TEXT(J2,"yyyymmdd") &amp; "_" &amp; K7</f>
        <v>V_20251119_53251</v>
      </c>
      <c r="L3" s="72"/>
      <c r="M3" s="72"/>
      <c r="N3" s="72"/>
      <c r="O3" s="73"/>
    </row>
    <row r="4" spans="1:15" x14ac:dyDescent="0.25">
      <c r="A4" s="68" t="s">
        <v>5</v>
      </c>
      <c r="B4" s="69"/>
      <c r="C4" s="69"/>
      <c r="D4" s="69"/>
      <c r="E4" s="69"/>
      <c r="F4" s="69"/>
      <c r="G4" s="1"/>
      <c r="H4" s="8"/>
      <c r="I4" s="1"/>
      <c r="J4" s="1"/>
      <c r="K4" s="1"/>
      <c r="L4" s="1"/>
      <c r="M4" s="1"/>
      <c r="N4" s="1"/>
      <c r="O4" s="8"/>
    </row>
    <row r="5" spans="1:15" x14ac:dyDescent="0.25">
      <c r="A5" s="68"/>
      <c r="B5" s="69"/>
      <c r="C5" s="69"/>
      <c r="D5" s="69"/>
      <c r="E5" s="69"/>
      <c r="F5" s="69"/>
      <c r="G5" s="1"/>
      <c r="H5" s="8"/>
      <c r="I5" s="2"/>
      <c r="J5" s="2"/>
      <c r="K5" s="2"/>
      <c r="L5" s="2"/>
      <c r="M5" s="2"/>
      <c r="N5" s="2"/>
      <c r="O5" s="3"/>
    </row>
    <row r="6" spans="1:15" x14ac:dyDescent="0.25">
      <c r="A6" s="68"/>
      <c r="B6" s="69"/>
      <c r="C6" s="69"/>
      <c r="D6" s="69"/>
      <c r="E6" s="69"/>
      <c r="F6" s="69"/>
      <c r="G6" s="1"/>
      <c r="H6" s="8"/>
      <c r="I6" s="63" t="s">
        <v>6</v>
      </c>
      <c r="J6" s="63"/>
      <c r="K6" s="62" t="s">
        <v>93</v>
      </c>
      <c r="L6" s="62"/>
      <c r="M6" s="1"/>
      <c r="N6" s="9"/>
      <c r="O6" s="8"/>
    </row>
    <row r="7" spans="1:15" x14ac:dyDescent="0.25">
      <c r="A7" s="10" t="s">
        <v>8</v>
      </c>
      <c r="B7" s="66"/>
      <c r="C7" s="66"/>
      <c r="D7" s="2"/>
      <c r="E7" s="2"/>
      <c r="F7" s="2"/>
      <c r="G7" s="2"/>
      <c r="H7" s="3"/>
      <c r="I7" s="63" t="s">
        <v>9</v>
      </c>
      <c r="J7" s="63"/>
      <c r="K7" s="70">
        <v>53251</v>
      </c>
      <c r="L7" s="70"/>
      <c r="M7" s="9"/>
      <c r="N7" s="9"/>
      <c r="O7" s="8"/>
    </row>
    <row r="8" spans="1:15" x14ac:dyDescent="0.25">
      <c r="A8" s="5" t="s">
        <v>10</v>
      </c>
      <c r="B8" s="11"/>
      <c r="C8" s="11"/>
      <c r="D8" s="11"/>
      <c r="E8" s="11"/>
      <c r="F8" s="67" t="s">
        <v>11</v>
      </c>
      <c r="G8" s="67"/>
      <c r="H8" s="8"/>
      <c r="I8" s="64" t="s">
        <v>12</v>
      </c>
      <c r="J8" s="65"/>
      <c r="K8" s="70">
        <v>23635234</v>
      </c>
      <c r="L8" s="70"/>
      <c r="M8" s="12"/>
      <c r="N8" s="12"/>
      <c r="O8" s="3"/>
    </row>
    <row r="9" spans="1:15" x14ac:dyDescent="0.25">
      <c r="A9" s="68" t="s">
        <v>83</v>
      </c>
      <c r="B9" s="69"/>
      <c r="C9" s="69"/>
      <c r="D9" s="69"/>
      <c r="E9" s="69"/>
      <c r="F9" s="69"/>
      <c r="G9" s="1"/>
      <c r="H9" s="8"/>
      <c r="I9" s="13" t="s">
        <v>14</v>
      </c>
      <c r="J9" s="32" t="s">
        <v>15</v>
      </c>
      <c r="K9" s="1"/>
      <c r="L9" s="1"/>
      <c r="M9" s="1"/>
      <c r="N9" s="1"/>
      <c r="O9" s="8"/>
    </row>
    <row r="10" spans="1:15" x14ac:dyDescent="0.25">
      <c r="A10" s="68"/>
      <c r="B10" s="69"/>
      <c r="C10" s="69"/>
      <c r="D10" s="69"/>
      <c r="E10" s="69"/>
      <c r="F10" s="69"/>
      <c r="G10" s="1"/>
      <c r="H10" s="8"/>
      <c r="I10" s="13" t="s">
        <v>16</v>
      </c>
      <c r="J10" s="1"/>
      <c r="K10" s="1"/>
      <c r="L10" s="1"/>
      <c r="M10" s="1"/>
      <c r="N10" s="1"/>
      <c r="O10" s="8"/>
    </row>
    <row r="11" spans="1:15" x14ac:dyDescent="0.25">
      <c r="A11" s="68"/>
      <c r="B11" s="69"/>
      <c r="C11" s="69"/>
      <c r="D11" s="69"/>
      <c r="E11" s="69"/>
      <c r="F11" s="69"/>
      <c r="G11" s="1"/>
      <c r="H11" s="8"/>
      <c r="I11" s="1"/>
      <c r="J11" s="1"/>
      <c r="K11" s="1"/>
      <c r="L11" s="1"/>
      <c r="M11" s="1"/>
      <c r="N11" s="1"/>
      <c r="O11" s="8"/>
    </row>
    <row r="12" spans="1:15" x14ac:dyDescent="0.25">
      <c r="A12" s="10" t="s">
        <v>17</v>
      </c>
      <c r="B12" s="66"/>
      <c r="C12" s="66"/>
      <c r="D12" s="2"/>
      <c r="E12" s="2"/>
      <c r="F12" s="2"/>
      <c r="G12" s="2"/>
      <c r="H12" s="3"/>
      <c r="I12" s="2"/>
      <c r="J12" s="2"/>
      <c r="K12" s="2"/>
      <c r="L12" s="2"/>
      <c r="M12" s="2"/>
      <c r="N12" s="2"/>
      <c r="O12" s="3"/>
    </row>
    <row r="13" spans="1:15" x14ac:dyDescent="0.25">
      <c r="A13" s="158" t="s">
        <v>18</v>
      </c>
      <c r="B13" s="159"/>
      <c r="C13" s="159"/>
      <c r="D13" s="159"/>
      <c r="E13" s="159"/>
      <c r="F13" s="159"/>
      <c r="G13" s="159"/>
      <c r="H13" s="160"/>
      <c r="I13" s="157" t="s">
        <v>19</v>
      </c>
      <c r="J13" s="157"/>
      <c r="K13" s="1"/>
      <c r="L13" s="1"/>
      <c r="M13" s="1"/>
      <c r="N13" s="1"/>
      <c r="O13" s="8"/>
    </row>
    <row r="14" spans="1:15" x14ac:dyDescent="0.25">
      <c r="A14" s="14"/>
      <c r="B14" s="2"/>
      <c r="C14" s="2"/>
      <c r="D14" s="2"/>
      <c r="E14" s="2"/>
      <c r="F14" s="2"/>
      <c r="G14" s="2"/>
      <c r="H14" s="3"/>
      <c r="I14" s="1"/>
      <c r="J14" s="1"/>
      <c r="K14" s="1"/>
      <c r="L14" s="1"/>
      <c r="M14" s="1"/>
      <c r="N14" s="1"/>
      <c r="O14" s="8"/>
    </row>
    <row r="15" spans="1:15" x14ac:dyDescent="0.25">
      <c r="A15" s="71" t="s">
        <v>21</v>
      </c>
      <c r="B15" s="60"/>
      <c r="C15" s="60"/>
      <c r="D15" s="60"/>
      <c r="E15" s="60"/>
      <c r="F15" s="60"/>
      <c r="G15" s="60"/>
      <c r="H15" s="8"/>
      <c r="I15" s="1"/>
      <c r="J15" s="1" t="s">
        <v>91</v>
      </c>
      <c r="K15" s="1"/>
      <c r="L15" s="1"/>
      <c r="M15" s="1"/>
      <c r="N15" s="1"/>
      <c r="O15" s="8"/>
    </row>
    <row r="16" spans="1:15" x14ac:dyDescent="0.25">
      <c r="A16" s="15"/>
      <c r="B16" s="1"/>
      <c r="C16" s="1"/>
      <c r="D16" s="1"/>
      <c r="E16" s="1"/>
      <c r="F16" s="1"/>
      <c r="G16" s="1"/>
      <c r="H16" s="8"/>
      <c r="I16" s="1"/>
      <c r="J16" s="1"/>
      <c r="K16" s="1"/>
      <c r="L16" s="1"/>
      <c r="M16" s="1"/>
      <c r="N16" s="1"/>
      <c r="O16" s="8"/>
    </row>
    <row r="17" spans="1:15" x14ac:dyDescent="0.25">
      <c r="A17" s="15"/>
      <c r="B17" s="1"/>
      <c r="C17" s="1"/>
      <c r="D17" s="1"/>
      <c r="E17" s="1"/>
      <c r="F17" s="1"/>
      <c r="G17" s="1"/>
      <c r="H17" s="8"/>
      <c r="I17" s="1"/>
      <c r="J17" s="1"/>
      <c r="K17" s="1"/>
      <c r="L17" s="1"/>
      <c r="M17" s="1"/>
      <c r="N17" s="1"/>
      <c r="O17" s="8"/>
    </row>
    <row r="18" spans="1:15" ht="15.75" thickBot="1" x14ac:dyDescent="0.3">
      <c r="A18" s="53"/>
      <c r="B18" s="16"/>
      <c r="C18" s="16"/>
      <c r="D18" s="16"/>
      <c r="E18" s="16"/>
      <c r="F18" s="16"/>
      <c r="G18" s="16"/>
      <c r="H18" s="52"/>
      <c r="I18" s="16"/>
      <c r="J18" s="16"/>
      <c r="K18" s="16"/>
      <c r="L18" s="16"/>
      <c r="M18" s="16"/>
      <c r="N18" s="16"/>
      <c r="O18" s="52"/>
    </row>
    <row r="19" spans="1:15" x14ac:dyDescent="0.25">
      <c r="A19" s="74" t="s">
        <v>27</v>
      </c>
      <c r="B19" s="75"/>
      <c r="C19" s="76" t="s">
        <v>28</v>
      </c>
      <c r="D19" s="75"/>
      <c r="E19" s="77"/>
      <c r="F19" s="78"/>
      <c r="G19" s="129" t="s">
        <v>29</v>
      </c>
      <c r="H19" s="130"/>
      <c r="I19" s="130"/>
      <c r="J19" s="130"/>
      <c r="K19" s="130"/>
      <c r="L19" s="130"/>
      <c r="M19" s="156"/>
      <c r="N19" s="130" t="s">
        <v>30</v>
      </c>
      <c r="O19" s="156"/>
    </row>
    <row r="20" spans="1:15" ht="33.75" customHeight="1" x14ac:dyDescent="0.25">
      <c r="A20" s="17" t="s">
        <v>31</v>
      </c>
      <c r="B20" s="18" t="s">
        <v>32</v>
      </c>
      <c r="C20" s="17" t="s">
        <v>31</v>
      </c>
      <c r="D20" s="18" t="s">
        <v>32</v>
      </c>
      <c r="E20" s="19" t="s">
        <v>33</v>
      </c>
      <c r="F20" s="20" t="s">
        <v>34</v>
      </c>
      <c r="G20" s="126" t="s">
        <v>35</v>
      </c>
      <c r="H20" s="127"/>
      <c r="I20" s="127"/>
      <c r="J20" s="127"/>
      <c r="K20" s="127"/>
      <c r="L20" s="127"/>
      <c r="M20" s="128"/>
      <c r="N20" s="21" t="s">
        <v>36</v>
      </c>
      <c r="O20" s="22" t="s">
        <v>37</v>
      </c>
    </row>
    <row r="21" spans="1:15" x14ac:dyDescent="0.25">
      <c r="A21" s="30">
        <v>36</v>
      </c>
      <c r="B21" s="24" t="s">
        <v>38</v>
      </c>
      <c r="C21" s="23">
        <f>20*A21</f>
        <v>720</v>
      </c>
      <c r="D21" s="24" t="s">
        <v>39</v>
      </c>
      <c r="E21" s="25">
        <f>SUM((A21*50),(C21*37))</f>
        <v>28440</v>
      </c>
      <c r="F21" s="24"/>
      <c r="G21" s="88" t="s">
        <v>40</v>
      </c>
      <c r="H21" s="89"/>
      <c r="I21" s="89"/>
      <c r="J21" s="89"/>
      <c r="K21" s="89"/>
      <c r="L21" s="89"/>
      <c r="M21" s="90"/>
      <c r="N21" s="23"/>
      <c r="O21" s="24"/>
    </row>
    <row r="22" spans="1:15" x14ac:dyDescent="0.25">
      <c r="A22" s="23"/>
      <c r="B22" s="24"/>
      <c r="C22" s="23"/>
      <c r="D22" s="24"/>
      <c r="E22" s="23"/>
      <c r="F22" s="24"/>
      <c r="G22" s="88"/>
      <c r="H22" s="89"/>
      <c r="I22" s="89"/>
      <c r="J22" s="89"/>
      <c r="K22" s="89"/>
      <c r="L22" s="89"/>
      <c r="M22" s="90"/>
      <c r="N22" s="23"/>
      <c r="O22" s="24"/>
    </row>
    <row r="23" spans="1:15" x14ac:dyDescent="0.25">
      <c r="A23" s="23"/>
      <c r="B23" s="24"/>
      <c r="C23" s="23"/>
      <c r="D23" s="24"/>
      <c r="E23" s="23"/>
      <c r="F23" s="24"/>
      <c r="G23" s="88"/>
      <c r="H23" s="89"/>
      <c r="I23" s="89"/>
      <c r="J23" s="89"/>
      <c r="K23" s="89"/>
      <c r="L23" s="89"/>
      <c r="M23" s="90"/>
      <c r="N23" s="23"/>
      <c r="O23" s="24"/>
    </row>
    <row r="24" spans="1:15" x14ac:dyDescent="0.25">
      <c r="A24" s="23"/>
      <c r="B24" s="24"/>
      <c r="C24" s="23"/>
      <c r="D24" s="24"/>
      <c r="E24" s="23"/>
      <c r="F24" s="24"/>
      <c r="G24" s="88"/>
      <c r="H24" s="89"/>
      <c r="I24" s="89"/>
      <c r="J24" s="89"/>
      <c r="K24" s="89"/>
      <c r="L24" s="89"/>
      <c r="M24" s="90"/>
      <c r="N24" s="23"/>
      <c r="O24" s="24"/>
    </row>
    <row r="25" spans="1:15" x14ac:dyDescent="0.25">
      <c r="A25" s="23"/>
      <c r="B25" s="24"/>
      <c r="C25" s="23"/>
      <c r="D25" s="24"/>
      <c r="E25" s="23"/>
      <c r="F25" s="24"/>
      <c r="G25" s="88"/>
      <c r="H25" s="89"/>
      <c r="I25" s="89"/>
      <c r="J25" s="89"/>
      <c r="K25" s="89"/>
      <c r="L25" s="89"/>
      <c r="M25" s="90"/>
      <c r="N25" s="23"/>
      <c r="O25" s="24"/>
    </row>
    <row r="26" spans="1:15" x14ac:dyDescent="0.25">
      <c r="A26" s="23"/>
      <c r="B26" s="24"/>
      <c r="C26" s="23"/>
      <c r="D26" s="24"/>
      <c r="E26" s="23"/>
      <c r="F26" s="24"/>
      <c r="G26" s="88"/>
      <c r="H26" s="89"/>
      <c r="I26" s="89"/>
      <c r="J26" s="89"/>
      <c r="K26" s="89"/>
      <c r="L26" s="89"/>
      <c r="M26" s="90"/>
      <c r="N26" s="23"/>
      <c r="O26" s="24"/>
    </row>
    <row r="27" spans="1:15" ht="15.75" thickBot="1" x14ac:dyDescent="0.3">
      <c r="A27" s="26">
        <f>SUM(A21:A26)</f>
        <v>36</v>
      </c>
      <c r="B27" s="27"/>
      <c r="C27" s="26">
        <f>SUM(C21:C26)</f>
        <v>720</v>
      </c>
      <c r="D27" s="27"/>
      <c r="E27" s="26">
        <f>SUM(E21:E26)</f>
        <v>28440</v>
      </c>
      <c r="F27" s="27"/>
      <c r="G27" s="108" t="s">
        <v>41</v>
      </c>
      <c r="H27" s="109"/>
      <c r="I27" s="109"/>
      <c r="J27" s="109"/>
      <c r="K27" s="109"/>
      <c r="L27" s="109"/>
      <c r="M27" s="110"/>
      <c r="N27" s="27"/>
      <c r="O27" s="27"/>
    </row>
    <row r="28" spans="1:15" ht="15" customHeight="1" x14ac:dyDescent="0.25">
      <c r="A28" s="103" t="s">
        <v>42</v>
      </c>
      <c r="B28" s="104"/>
      <c r="C28" s="104"/>
      <c r="D28" s="104"/>
      <c r="E28" s="104"/>
      <c r="F28" s="104"/>
      <c r="G28" s="104"/>
      <c r="H28" s="105"/>
      <c r="I28" s="103" t="s">
        <v>43</v>
      </c>
      <c r="J28" s="104"/>
      <c r="K28" s="104"/>
      <c r="L28" s="104"/>
      <c r="M28" s="104"/>
      <c r="N28" s="104"/>
      <c r="O28" s="105"/>
    </row>
    <row r="29" spans="1:15" x14ac:dyDescent="0.25">
      <c r="A29" s="94"/>
      <c r="B29" s="95"/>
      <c r="C29" s="95"/>
      <c r="D29" s="95"/>
      <c r="E29" s="95"/>
      <c r="F29" s="95"/>
      <c r="G29" s="95"/>
      <c r="H29" s="96"/>
      <c r="I29" s="94"/>
      <c r="J29" s="95"/>
      <c r="K29" s="95"/>
      <c r="L29" s="95"/>
      <c r="M29" s="95"/>
      <c r="N29" s="95"/>
      <c r="O29" s="96"/>
    </row>
    <row r="30" spans="1:15" x14ac:dyDescent="0.25">
      <c r="A30" s="94"/>
      <c r="B30" s="95"/>
      <c r="C30" s="95"/>
      <c r="D30" s="95"/>
      <c r="E30" s="95"/>
      <c r="F30" s="95"/>
      <c r="G30" s="95"/>
      <c r="H30" s="96"/>
      <c r="I30" s="1"/>
      <c r="J30" s="1"/>
      <c r="K30" s="1"/>
      <c r="L30" s="1"/>
      <c r="M30" s="1"/>
      <c r="N30" s="1"/>
      <c r="O30" s="8"/>
    </row>
    <row r="31" spans="1:15" x14ac:dyDescent="0.25">
      <c r="A31" s="94" t="s">
        <v>44</v>
      </c>
      <c r="B31" s="95"/>
      <c r="C31" s="95"/>
      <c r="D31" s="95"/>
      <c r="E31" s="95"/>
      <c r="F31" s="95"/>
      <c r="G31" s="95"/>
      <c r="H31" s="96"/>
      <c r="I31" s="14"/>
      <c r="J31" s="2"/>
      <c r="K31" s="2"/>
      <c r="L31" s="1"/>
      <c r="M31" s="1"/>
      <c r="N31" s="1"/>
      <c r="O31" s="8"/>
    </row>
    <row r="32" spans="1:15" x14ac:dyDescent="0.25">
      <c r="A32" s="94"/>
      <c r="B32" s="95"/>
      <c r="C32" s="95"/>
      <c r="D32" s="95"/>
      <c r="E32" s="95"/>
      <c r="F32" s="95"/>
      <c r="G32" s="95"/>
      <c r="H32" s="96"/>
      <c r="I32" s="106" t="s">
        <v>45</v>
      </c>
      <c r="J32" s="107"/>
      <c r="K32" s="1"/>
      <c r="L32" s="1"/>
      <c r="M32" s="1"/>
      <c r="N32" s="1"/>
      <c r="O32" s="8"/>
    </row>
    <row r="33" spans="1:15" x14ac:dyDescent="0.25">
      <c r="A33" s="14"/>
      <c r="B33" s="2"/>
      <c r="C33" s="2"/>
      <c r="D33" s="2"/>
      <c r="E33" s="1" t="s">
        <v>46</v>
      </c>
      <c r="F33" s="2"/>
      <c r="G33" s="2"/>
      <c r="H33" s="8"/>
      <c r="I33" s="1"/>
      <c r="J33" s="1"/>
      <c r="K33" s="1"/>
      <c r="L33" s="1"/>
      <c r="M33" s="1"/>
      <c r="N33" s="1"/>
      <c r="O33" s="8"/>
    </row>
    <row r="34" spans="1:15" x14ac:dyDescent="0.25">
      <c r="A34" s="31"/>
      <c r="B34" s="2"/>
      <c r="C34" s="2"/>
      <c r="D34" s="2"/>
      <c r="E34" s="2"/>
      <c r="F34" s="2"/>
      <c r="G34" s="2"/>
      <c r="H34" s="3"/>
      <c r="I34" s="2"/>
      <c r="J34" s="2"/>
      <c r="K34" s="2"/>
      <c r="L34" s="2"/>
      <c r="M34" s="2"/>
      <c r="N34" s="2"/>
      <c r="O34" s="3"/>
    </row>
    <row r="35" spans="1:15" x14ac:dyDescent="0.25">
      <c r="A35" s="100" t="s">
        <v>47</v>
      </c>
      <c r="B35" s="101"/>
      <c r="C35" s="101"/>
      <c r="D35" s="101"/>
      <c r="E35" s="101"/>
      <c r="F35" s="101"/>
      <c r="G35" s="101"/>
      <c r="H35" s="101"/>
      <c r="I35" s="101"/>
      <c r="J35" s="101"/>
      <c r="K35" s="101"/>
      <c r="L35" s="101"/>
      <c r="M35" s="101"/>
      <c r="N35" s="101"/>
      <c r="O35" s="102"/>
    </row>
    <row r="36" spans="1:15" x14ac:dyDescent="0.25">
      <c r="A36" s="91" t="s">
        <v>48</v>
      </c>
      <c r="B36" s="92"/>
      <c r="C36" s="92"/>
      <c r="D36" s="92"/>
      <c r="E36" s="92"/>
      <c r="F36" s="92"/>
      <c r="G36" s="92"/>
      <c r="H36" s="92"/>
      <c r="I36" s="92"/>
      <c r="J36" s="92"/>
      <c r="K36" s="92"/>
      <c r="L36" s="92"/>
      <c r="M36" s="92"/>
      <c r="N36" s="92"/>
      <c r="O36" s="93"/>
    </row>
    <row r="37" spans="1:15" x14ac:dyDescent="0.25">
      <c r="A37" s="94"/>
      <c r="B37" s="95"/>
      <c r="C37" s="95"/>
      <c r="D37" s="95"/>
      <c r="E37" s="95"/>
      <c r="F37" s="95"/>
      <c r="G37" s="95"/>
      <c r="H37" s="95"/>
      <c r="I37" s="95"/>
      <c r="J37" s="95"/>
      <c r="K37" s="95"/>
      <c r="L37" s="95"/>
      <c r="M37" s="95"/>
      <c r="N37" s="95"/>
      <c r="O37" s="96"/>
    </row>
    <row r="38" spans="1:15" x14ac:dyDescent="0.25">
      <c r="A38" s="94"/>
      <c r="B38" s="95"/>
      <c r="C38" s="95"/>
      <c r="D38" s="95"/>
      <c r="E38" s="95"/>
      <c r="F38" s="95"/>
      <c r="G38" s="95"/>
      <c r="H38" s="95"/>
      <c r="I38" s="95"/>
      <c r="J38" s="95"/>
      <c r="K38" s="95"/>
      <c r="L38" s="95"/>
      <c r="M38" s="95"/>
      <c r="N38" s="95"/>
      <c r="O38" s="96"/>
    </row>
    <row r="39" spans="1:15" ht="15" customHeight="1" x14ac:dyDescent="0.25">
      <c r="A39" s="94"/>
      <c r="B39" s="95"/>
      <c r="C39" s="95"/>
      <c r="D39" s="95"/>
      <c r="E39" s="95"/>
      <c r="F39" s="95"/>
      <c r="G39" s="95"/>
      <c r="H39" s="95"/>
      <c r="I39" s="95"/>
      <c r="J39" s="95"/>
      <c r="K39" s="95"/>
      <c r="L39" s="95"/>
      <c r="M39" s="95"/>
      <c r="N39" s="95"/>
      <c r="O39" s="96"/>
    </row>
    <row r="40" spans="1:15" ht="15" customHeight="1" x14ac:dyDescent="0.25">
      <c r="A40" s="94"/>
      <c r="B40" s="95"/>
      <c r="C40" s="95"/>
      <c r="D40" s="95"/>
      <c r="E40" s="95"/>
      <c r="F40" s="95"/>
      <c r="G40" s="95"/>
      <c r="H40" s="95"/>
      <c r="I40" s="95"/>
      <c r="J40" s="95"/>
      <c r="K40" s="95"/>
      <c r="L40" s="95"/>
      <c r="M40" s="95"/>
      <c r="N40" s="95"/>
      <c r="O40" s="96"/>
    </row>
    <row r="41" spans="1:15" x14ac:dyDescent="0.25">
      <c r="A41" s="97"/>
      <c r="B41" s="98"/>
      <c r="C41" s="98"/>
      <c r="D41" s="98"/>
      <c r="E41" s="98"/>
      <c r="F41" s="98"/>
      <c r="G41" s="98"/>
      <c r="H41" s="98"/>
      <c r="I41" s="98"/>
      <c r="J41" s="98"/>
      <c r="K41" s="98"/>
      <c r="L41" s="98"/>
      <c r="M41" s="98"/>
      <c r="N41" s="98"/>
      <c r="O41" s="99"/>
    </row>
    <row r="42" spans="1:15" ht="15" customHeight="1" x14ac:dyDescent="0.25">
      <c r="A42" s="94" t="s">
        <v>49</v>
      </c>
      <c r="B42" s="95"/>
      <c r="C42" s="95"/>
      <c r="D42" s="95"/>
      <c r="E42" s="95"/>
      <c r="F42" s="96"/>
      <c r="G42" s="117" t="s">
        <v>50</v>
      </c>
      <c r="H42" s="118"/>
      <c r="I42" s="28" t="s">
        <v>51</v>
      </c>
      <c r="J42" s="8"/>
      <c r="K42" s="95" t="s">
        <v>52</v>
      </c>
      <c r="L42" s="95"/>
      <c r="M42" s="95"/>
      <c r="N42" s="95"/>
      <c r="O42" s="96"/>
    </row>
    <row r="43" spans="1:15" x14ac:dyDescent="0.25">
      <c r="A43" s="94"/>
      <c r="B43" s="95"/>
      <c r="C43" s="95"/>
      <c r="D43" s="95"/>
      <c r="E43" s="95"/>
      <c r="F43" s="96"/>
      <c r="G43" s="1"/>
      <c r="H43" s="1"/>
      <c r="I43" s="1"/>
      <c r="J43" s="8"/>
      <c r="K43" s="95"/>
      <c r="L43" s="95"/>
      <c r="M43" s="95"/>
      <c r="N43" s="95"/>
      <c r="O43" s="96"/>
    </row>
    <row r="44" spans="1:15" x14ac:dyDescent="0.25">
      <c r="A44" s="94"/>
      <c r="B44" s="95"/>
      <c r="C44" s="95"/>
      <c r="D44" s="95"/>
      <c r="E44" s="95"/>
      <c r="F44" s="96"/>
      <c r="G44" s="1"/>
      <c r="H44" s="1"/>
      <c r="I44" s="1"/>
      <c r="J44" s="8"/>
      <c r="K44" s="95"/>
      <c r="L44" s="95"/>
      <c r="M44" s="95"/>
      <c r="N44" s="95"/>
      <c r="O44" s="96"/>
    </row>
    <row r="45" spans="1:15" x14ac:dyDescent="0.25">
      <c r="A45" s="94"/>
      <c r="B45" s="95"/>
      <c r="C45" s="95"/>
      <c r="D45" s="95"/>
      <c r="E45" s="95"/>
      <c r="F45" s="96"/>
      <c r="G45" s="1"/>
      <c r="H45" s="1"/>
      <c r="I45" s="1"/>
      <c r="J45" s="8"/>
      <c r="K45" s="95"/>
      <c r="L45" s="95"/>
      <c r="M45" s="95"/>
      <c r="N45" s="95"/>
      <c r="O45" s="96"/>
    </row>
    <row r="46" spans="1:15" x14ac:dyDescent="0.25">
      <c r="A46" s="94"/>
      <c r="B46" s="95"/>
      <c r="C46" s="95"/>
      <c r="D46" s="95"/>
      <c r="E46" s="95"/>
      <c r="F46" s="96"/>
      <c r="G46" s="1"/>
      <c r="H46" s="1"/>
      <c r="I46" s="1"/>
      <c r="J46" s="8"/>
      <c r="K46" s="95"/>
      <c r="L46" s="95"/>
      <c r="M46" s="95"/>
      <c r="N46" s="95"/>
      <c r="O46" s="96"/>
    </row>
    <row r="47" spans="1:15" x14ac:dyDescent="0.25">
      <c r="A47" s="15"/>
      <c r="B47" s="1"/>
      <c r="C47" s="1"/>
      <c r="D47" s="1"/>
      <c r="E47" s="1"/>
      <c r="F47" s="8"/>
      <c r="G47" s="1"/>
      <c r="H47" s="1"/>
      <c r="I47" s="1"/>
      <c r="J47" s="8"/>
      <c r="K47" s="95"/>
      <c r="L47" s="95"/>
      <c r="M47" s="95"/>
      <c r="N47" s="95"/>
      <c r="O47" s="96"/>
    </row>
    <row r="48" spans="1:15" x14ac:dyDescent="0.25">
      <c r="A48" s="15"/>
      <c r="B48" s="1"/>
      <c r="C48" s="1"/>
      <c r="D48" s="1"/>
      <c r="E48" s="116">
        <f ca="1">J2</f>
        <v>45980</v>
      </c>
      <c r="F48" s="115"/>
      <c r="G48" s="1"/>
      <c r="H48" s="1"/>
      <c r="I48" s="1"/>
      <c r="J48" s="8"/>
      <c r="K48" s="1"/>
      <c r="L48" s="1"/>
      <c r="M48" s="1"/>
      <c r="N48" s="114"/>
      <c r="O48" s="115"/>
    </row>
    <row r="49" spans="1:15" x14ac:dyDescent="0.25">
      <c r="A49" s="113" t="s">
        <v>45</v>
      </c>
      <c r="B49" s="111"/>
      <c r="C49" s="111"/>
      <c r="D49" s="2"/>
      <c r="E49" s="29" t="s">
        <v>53</v>
      </c>
      <c r="F49" s="4"/>
      <c r="G49" s="2"/>
      <c r="H49" s="2"/>
      <c r="I49" s="2"/>
      <c r="J49" s="3"/>
      <c r="K49" s="111" t="s">
        <v>54</v>
      </c>
      <c r="L49" s="111"/>
      <c r="M49" s="2"/>
      <c r="N49" s="111" t="s">
        <v>55</v>
      </c>
      <c r="O49" s="112"/>
    </row>
  </sheetData>
  <mergeCells count="46">
    <mergeCell ref="I3:J3"/>
    <mergeCell ref="K3:O3"/>
    <mergeCell ref="A1:E1"/>
    <mergeCell ref="A2:E2"/>
    <mergeCell ref="J2:K2"/>
    <mergeCell ref="G25:M25"/>
    <mergeCell ref="I28:O29"/>
    <mergeCell ref="I32:J32"/>
    <mergeCell ref="A28:H30"/>
    <mergeCell ref="G26:M26"/>
    <mergeCell ref="G27:M27"/>
    <mergeCell ref="A4:F6"/>
    <mergeCell ref="K7:L7"/>
    <mergeCell ref="N49:O49"/>
    <mergeCell ref="A42:F46"/>
    <mergeCell ref="K42:O47"/>
    <mergeCell ref="A49:C49"/>
    <mergeCell ref="N48:O48"/>
    <mergeCell ref="E48:F48"/>
    <mergeCell ref="G42:H42"/>
    <mergeCell ref="K49:L49"/>
    <mergeCell ref="G24:M24"/>
    <mergeCell ref="A36:O41"/>
    <mergeCell ref="A35:O35"/>
    <mergeCell ref="A31:H32"/>
    <mergeCell ref="F8:G8"/>
    <mergeCell ref="A9:F11"/>
    <mergeCell ref="G23:M23"/>
    <mergeCell ref="I13:J13"/>
    <mergeCell ref="A13:H13"/>
    <mergeCell ref="A19:B19"/>
    <mergeCell ref="C19:D19"/>
    <mergeCell ref="E19:F19"/>
    <mergeCell ref="G20:M20"/>
    <mergeCell ref="G19:M19"/>
    <mergeCell ref="K8:L8"/>
    <mergeCell ref="A15:G15"/>
    <mergeCell ref="B12:C12"/>
    <mergeCell ref="I7:J7"/>
    <mergeCell ref="I8:J8"/>
    <mergeCell ref="B7:C7"/>
    <mergeCell ref="N19:O19"/>
    <mergeCell ref="G21:M21"/>
    <mergeCell ref="G22:M22"/>
    <mergeCell ref="K6:L6"/>
    <mergeCell ref="I6:J6"/>
  </mergeCells>
  <printOptions horizontalCentered="1"/>
  <pageMargins left="0.11811023622047245" right="0.11811023622047245" top="0.39370078740157483" bottom="0.3937007874015748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55" r:id="rId4" name="Check Box 11">
              <controlPr defaultSize="0" autoFill="0" autoLine="0" autoPict="0">
                <anchor moveWithCells="1">
                  <from>
                    <xdr:col>7</xdr:col>
                    <xdr:colOff>19050</xdr:colOff>
                    <xdr:row>6</xdr:row>
                    <xdr:rowOff>0</xdr:rowOff>
                  </from>
                  <to>
                    <xdr:col>8</xdr:col>
                    <xdr:colOff>209550</xdr:colOff>
                    <xdr:row>7</xdr:row>
                    <xdr:rowOff>19050</xdr:rowOff>
                  </to>
                </anchor>
              </controlPr>
            </control>
          </mc:Choice>
        </mc:AlternateContent>
        <mc:AlternateContent xmlns:mc="http://schemas.openxmlformats.org/markup-compatibility/2006">
          <mc:Choice Requires="x14">
            <control shapeId="6156" r:id="rId5" name="Check Box 12">
              <controlPr defaultSize="0" autoFill="0" autoLine="0" autoPict="0">
                <anchor moveWithCells="1">
                  <from>
                    <xdr:col>7</xdr:col>
                    <xdr:colOff>0</xdr:colOff>
                    <xdr:row>11</xdr:row>
                    <xdr:rowOff>0</xdr:rowOff>
                  </from>
                  <to>
                    <xdr:col>8</xdr:col>
                    <xdr:colOff>190500</xdr:colOff>
                    <xdr:row>12</xdr:row>
                    <xdr:rowOff>19050</xdr:rowOff>
                  </to>
                </anchor>
              </controlPr>
            </control>
          </mc:Choice>
        </mc:AlternateContent>
        <mc:AlternateContent xmlns:mc="http://schemas.openxmlformats.org/markup-compatibility/2006">
          <mc:Choice Requires="x14">
            <control shapeId="6157" r:id="rId6" name="Check Box 13">
              <controlPr defaultSize="0" autoFill="0" autoLine="0" autoPict="0">
                <anchor moveWithCells="1">
                  <from>
                    <xdr:col>0</xdr:col>
                    <xdr:colOff>19050</xdr:colOff>
                    <xdr:row>13</xdr:row>
                    <xdr:rowOff>0</xdr:rowOff>
                  </from>
                  <to>
                    <xdr:col>2</xdr:col>
                    <xdr:colOff>133350</xdr:colOff>
                    <xdr:row>14</xdr:row>
                    <xdr:rowOff>19050</xdr:rowOff>
                  </to>
                </anchor>
              </controlPr>
            </control>
          </mc:Choice>
        </mc:AlternateContent>
        <mc:AlternateContent xmlns:mc="http://schemas.openxmlformats.org/markup-compatibility/2006">
          <mc:Choice Requires="x14">
            <control shapeId="6158" r:id="rId7" name="Check Box 14">
              <controlPr defaultSize="0" autoFill="0" autoLine="0" autoPict="0">
                <anchor moveWithCells="1">
                  <from>
                    <xdr:col>2</xdr:col>
                    <xdr:colOff>19050</xdr:colOff>
                    <xdr:row>13</xdr:row>
                    <xdr:rowOff>0</xdr:rowOff>
                  </from>
                  <to>
                    <xdr:col>4</xdr:col>
                    <xdr:colOff>190500</xdr:colOff>
                    <xdr:row>14</xdr:row>
                    <xdr:rowOff>19050</xdr:rowOff>
                  </to>
                </anchor>
              </controlPr>
            </control>
          </mc:Choice>
        </mc:AlternateContent>
        <mc:AlternateContent xmlns:mc="http://schemas.openxmlformats.org/markup-compatibility/2006">
          <mc:Choice Requires="x14">
            <control shapeId="6159" r:id="rId8" name="Check Box 15">
              <controlPr defaultSize="0" autoFill="0" autoLine="0" autoPict="0">
                <anchor moveWithCells="1">
                  <from>
                    <xdr:col>4</xdr:col>
                    <xdr:colOff>19050</xdr:colOff>
                    <xdr:row>13</xdr:row>
                    <xdr:rowOff>0</xdr:rowOff>
                  </from>
                  <to>
                    <xdr:col>6</xdr:col>
                    <xdr:colOff>152400</xdr:colOff>
                    <xdr:row>14</xdr:row>
                    <xdr:rowOff>19050</xdr:rowOff>
                  </to>
                </anchor>
              </controlPr>
            </control>
          </mc:Choice>
        </mc:AlternateContent>
        <mc:AlternateContent xmlns:mc="http://schemas.openxmlformats.org/markup-compatibility/2006">
          <mc:Choice Requires="x14">
            <control shapeId="6160" r:id="rId9" name="Check Box 16">
              <controlPr defaultSize="0" autoFill="0" autoLine="0" autoPict="0">
                <anchor moveWithCells="1">
                  <from>
                    <xdr:col>12</xdr:col>
                    <xdr:colOff>409575</xdr:colOff>
                    <xdr:row>11</xdr:row>
                    <xdr:rowOff>180975</xdr:rowOff>
                  </from>
                  <to>
                    <xdr:col>14</xdr:col>
                    <xdr:colOff>285750</xdr:colOff>
                    <xdr:row>13</xdr:row>
                    <xdr:rowOff>9525</xdr:rowOff>
                  </to>
                </anchor>
              </controlPr>
            </control>
          </mc:Choice>
        </mc:AlternateContent>
        <mc:AlternateContent xmlns:mc="http://schemas.openxmlformats.org/markup-compatibility/2006">
          <mc:Choice Requires="x14">
            <control shapeId="6161" r:id="rId10" name="Check Box 17">
              <controlPr defaultSize="0" autoFill="0" autoLine="0" autoPict="0">
                <anchor moveWithCells="1">
                  <from>
                    <xdr:col>7</xdr:col>
                    <xdr:colOff>590550</xdr:colOff>
                    <xdr:row>42</xdr:row>
                    <xdr:rowOff>0</xdr:rowOff>
                  </from>
                  <to>
                    <xdr:col>9</xdr:col>
                    <xdr:colOff>171450</xdr:colOff>
                    <xdr:row>43</xdr:row>
                    <xdr:rowOff>19050</xdr:rowOff>
                  </to>
                </anchor>
              </controlPr>
            </control>
          </mc:Choice>
        </mc:AlternateContent>
        <mc:AlternateContent xmlns:mc="http://schemas.openxmlformats.org/markup-compatibility/2006">
          <mc:Choice Requires="x14">
            <control shapeId="6162" r:id="rId11" name="Check Box 18">
              <controlPr defaultSize="0" autoFill="0" autoLine="0" autoPict="0">
                <anchor moveWithCells="1">
                  <from>
                    <xdr:col>7</xdr:col>
                    <xdr:colOff>590550</xdr:colOff>
                    <xdr:row>43</xdr:row>
                    <xdr:rowOff>9525</xdr:rowOff>
                  </from>
                  <to>
                    <xdr:col>9</xdr:col>
                    <xdr:colOff>438150</xdr:colOff>
                    <xdr:row>45</xdr:row>
                    <xdr:rowOff>0</xdr:rowOff>
                  </to>
                </anchor>
              </controlPr>
            </control>
          </mc:Choice>
        </mc:AlternateContent>
        <mc:AlternateContent xmlns:mc="http://schemas.openxmlformats.org/markup-compatibility/2006">
          <mc:Choice Requires="x14">
            <control shapeId="6163" r:id="rId12" name="Check Box 19">
              <controlPr defaultSize="0" autoFill="0" autoLine="0" autoPict="0">
                <anchor moveWithCells="1">
                  <from>
                    <xdr:col>7</xdr:col>
                    <xdr:colOff>590550</xdr:colOff>
                    <xdr:row>45</xdr:row>
                    <xdr:rowOff>0</xdr:rowOff>
                  </from>
                  <to>
                    <xdr:col>9</xdr:col>
                    <xdr:colOff>485775</xdr:colOff>
                    <xdr:row>46</xdr:row>
                    <xdr:rowOff>19050</xdr:rowOff>
                  </to>
                </anchor>
              </controlPr>
            </control>
          </mc:Choice>
        </mc:AlternateContent>
        <mc:AlternateContent xmlns:mc="http://schemas.openxmlformats.org/markup-compatibility/2006">
          <mc:Choice Requires="x14">
            <control shapeId="6164" r:id="rId13" name="Check Box 20">
              <controlPr defaultSize="0" autoFill="0" autoLine="0" autoPict="0">
                <anchor moveWithCells="1">
                  <from>
                    <xdr:col>6</xdr:col>
                    <xdr:colOff>19050</xdr:colOff>
                    <xdr:row>41</xdr:row>
                    <xdr:rowOff>171450</xdr:rowOff>
                  </from>
                  <to>
                    <xdr:col>7</xdr:col>
                    <xdr:colOff>209550</xdr:colOff>
                    <xdr:row>43</xdr:row>
                    <xdr:rowOff>0</xdr:rowOff>
                  </to>
                </anchor>
              </controlPr>
            </control>
          </mc:Choice>
        </mc:AlternateContent>
        <mc:AlternateContent xmlns:mc="http://schemas.openxmlformats.org/markup-compatibility/2006">
          <mc:Choice Requires="x14">
            <control shapeId="6165" r:id="rId14" name="Check Box 21">
              <controlPr defaultSize="0" autoFill="0" autoLine="0" autoPict="0">
                <anchor moveWithCells="1">
                  <from>
                    <xdr:col>6</xdr:col>
                    <xdr:colOff>19050</xdr:colOff>
                    <xdr:row>42</xdr:row>
                    <xdr:rowOff>180975</xdr:rowOff>
                  </from>
                  <to>
                    <xdr:col>7</xdr:col>
                    <xdr:colOff>209550</xdr:colOff>
                    <xdr:row>44</xdr:row>
                    <xdr:rowOff>9525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8CF16-AAF5-4BF2-B271-E18B0A581C67}">
  <sheetPr>
    <pageSetUpPr fitToPage="1"/>
  </sheetPr>
  <dimension ref="A1:F39"/>
  <sheetViews>
    <sheetView zoomScaleNormal="100" workbookViewId="0">
      <selection activeCell="K28" sqref="K28"/>
    </sheetView>
  </sheetViews>
  <sheetFormatPr defaultColWidth="8.7109375" defaultRowHeight="15" x14ac:dyDescent="0.25"/>
  <cols>
    <col min="1" max="1" width="10.85546875" style="42" customWidth="1"/>
    <col min="2" max="2" width="23.42578125" customWidth="1"/>
    <col min="3" max="3" width="14.7109375" customWidth="1"/>
    <col min="4" max="4" width="10.7109375" customWidth="1"/>
    <col min="5" max="5" width="22.5703125" customWidth="1"/>
    <col min="6" max="6" width="10.7109375" customWidth="1"/>
  </cols>
  <sheetData>
    <row r="1" spans="1:6" ht="15.75" thickBot="1" x14ac:dyDescent="0.3">
      <c r="C1" s="143" t="s">
        <v>56</v>
      </c>
      <c r="D1" s="144"/>
      <c r="E1" s="149">
        <f ca="1">TODAY()</f>
        <v>45980</v>
      </c>
      <c r="F1" s="146"/>
    </row>
    <row r="2" spans="1:6" ht="15.75" thickBot="1" x14ac:dyDescent="0.3">
      <c r="C2" s="143" t="s">
        <v>57</v>
      </c>
      <c r="D2" s="144"/>
      <c r="E2" s="145">
        <v>6.25E-2</v>
      </c>
      <c r="F2" s="146"/>
    </row>
    <row r="3" spans="1:6" ht="15.75" thickBot="1" x14ac:dyDescent="0.3">
      <c r="C3" s="143" t="s">
        <v>59</v>
      </c>
      <c r="D3" s="144"/>
      <c r="E3" s="147">
        <v>53251</v>
      </c>
      <c r="F3" s="148"/>
    </row>
    <row r="4" spans="1:6" x14ac:dyDescent="0.25">
      <c r="C4" s="143" t="s">
        <v>60</v>
      </c>
      <c r="D4" s="144"/>
      <c r="E4" s="147">
        <f>E3</f>
        <v>53251</v>
      </c>
      <c r="F4" s="148"/>
    </row>
    <row r="5" spans="1:6" ht="19.5" thickBot="1" x14ac:dyDescent="0.35">
      <c r="A5" s="155" t="s">
        <v>61</v>
      </c>
      <c r="B5" s="155"/>
      <c r="C5" s="155"/>
      <c r="D5" s="155"/>
      <c r="E5" s="155"/>
      <c r="F5" s="155"/>
    </row>
    <row r="6" spans="1:6" ht="15.95" customHeight="1" thickBot="1" x14ac:dyDescent="0.3">
      <c r="A6" s="51">
        <v>1</v>
      </c>
      <c r="B6" s="132" t="s">
        <v>62</v>
      </c>
      <c r="C6" s="133"/>
      <c r="D6" s="133"/>
      <c r="E6" s="134"/>
      <c r="F6" s="48" t="s">
        <v>63</v>
      </c>
    </row>
    <row r="7" spans="1:6" ht="15.75" thickBot="1" x14ac:dyDescent="0.3">
      <c r="A7" s="50">
        <v>2</v>
      </c>
      <c r="B7" s="132" t="s">
        <v>64</v>
      </c>
      <c r="C7" s="133"/>
      <c r="D7" s="133"/>
      <c r="E7" s="134"/>
      <c r="F7" s="48" t="s">
        <v>63</v>
      </c>
    </row>
    <row r="8" spans="1:6" ht="15.95" customHeight="1" thickBot="1" x14ac:dyDescent="0.3">
      <c r="A8" s="50">
        <v>3</v>
      </c>
      <c r="B8" s="132" t="s">
        <v>88</v>
      </c>
      <c r="C8" s="133"/>
      <c r="D8" s="133"/>
      <c r="E8" s="134"/>
      <c r="F8" s="48" t="s">
        <v>63</v>
      </c>
    </row>
    <row r="9" spans="1:6" ht="15.75" thickBot="1" x14ac:dyDescent="0.3">
      <c r="A9" s="50">
        <v>4</v>
      </c>
      <c r="B9" s="132" t="s">
        <v>65</v>
      </c>
      <c r="C9" s="133"/>
      <c r="D9" s="133"/>
      <c r="E9" s="134"/>
      <c r="F9" s="48" t="s">
        <v>63</v>
      </c>
    </row>
    <row r="10" spans="1:6" ht="15" customHeight="1" thickBot="1" x14ac:dyDescent="0.3">
      <c r="A10" s="50">
        <v>5</v>
      </c>
      <c r="B10" s="132" t="s">
        <v>66</v>
      </c>
      <c r="C10" s="133"/>
      <c r="D10" s="133"/>
      <c r="E10" s="134"/>
      <c r="F10" s="48" t="s">
        <v>63</v>
      </c>
    </row>
    <row r="11" spans="1:6" ht="18.95" customHeight="1" thickBot="1" x14ac:dyDescent="0.3">
      <c r="A11" s="50">
        <v>6</v>
      </c>
      <c r="B11" s="132" t="s">
        <v>67</v>
      </c>
      <c r="C11" s="133"/>
      <c r="D11" s="133"/>
      <c r="E11" s="134"/>
      <c r="F11" s="48" t="s">
        <v>63</v>
      </c>
    </row>
    <row r="12" spans="1:6" ht="15.75" thickBot="1" x14ac:dyDescent="0.3">
      <c r="A12" s="49">
        <v>7</v>
      </c>
      <c r="B12" s="132" t="s">
        <v>68</v>
      </c>
      <c r="C12" s="133"/>
      <c r="D12" s="133"/>
      <c r="E12" s="134"/>
      <c r="F12" s="48" t="s">
        <v>63</v>
      </c>
    </row>
    <row r="13" spans="1:6" ht="18.95" customHeight="1" x14ac:dyDescent="0.25">
      <c r="A13" s="139"/>
      <c r="B13" s="140"/>
      <c r="C13" s="140"/>
      <c r="D13" s="140"/>
      <c r="E13" s="140"/>
      <c r="F13" s="141"/>
    </row>
    <row r="14" spans="1:6" ht="15.75" x14ac:dyDescent="0.25">
      <c r="A14" s="46" t="s">
        <v>69</v>
      </c>
      <c r="B14" s="47" t="s">
        <v>70</v>
      </c>
      <c r="C14" s="47" t="s">
        <v>71</v>
      </c>
      <c r="D14" s="142" t="s">
        <v>72</v>
      </c>
      <c r="E14" s="142"/>
      <c r="F14" s="47" t="s">
        <v>73</v>
      </c>
    </row>
    <row r="15" spans="1:6" ht="18.95" customHeight="1" x14ac:dyDescent="0.25">
      <c r="A15" s="46"/>
      <c r="B15" s="46" t="s">
        <v>89</v>
      </c>
      <c r="C15" s="45" t="s">
        <v>75</v>
      </c>
      <c r="D15" s="137"/>
      <c r="E15" s="138"/>
      <c r="F15" s="45" t="s">
        <v>76</v>
      </c>
    </row>
    <row r="16" spans="1:6" ht="18.95" customHeight="1" x14ac:dyDescent="0.25">
      <c r="A16" s="46">
        <f>E4</f>
        <v>53251</v>
      </c>
      <c r="B16" s="45" t="s">
        <v>74</v>
      </c>
      <c r="C16" s="45" t="s">
        <v>75</v>
      </c>
      <c r="D16" s="137"/>
      <c r="E16" s="138"/>
      <c r="F16" s="45" t="s">
        <v>76</v>
      </c>
    </row>
    <row r="17" spans="1:6" ht="18.95" customHeight="1" x14ac:dyDescent="0.3">
      <c r="A17" s="44"/>
      <c r="B17" s="43"/>
      <c r="C17" s="43"/>
      <c r="D17" s="131"/>
      <c r="E17" s="131"/>
      <c r="F17" s="43"/>
    </row>
    <row r="18" spans="1:6" ht="18.95" customHeight="1" x14ac:dyDescent="0.3">
      <c r="A18" s="44"/>
      <c r="B18" s="43"/>
      <c r="C18" s="43"/>
      <c r="D18" s="131"/>
      <c r="E18" s="131"/>
      <c r="F18" s="43"/>
    </row>
    <row r="19" spans="1:6" ht="18.95" customHeight="1" x14ac:dyDescent="0.3">
      <c r="A19" s="44"/>
      <c r="B19" s="43"/>
      <c r="C19" s="43"/>
      <c r="D19" s="131"/>
      <c r="E19" s="131"/>
      <c r="F19" s="43"/>
    </row>
    <row r="20" spans="1:6" ht="18.95" customHeight="1" x14ac:dyDescent="0.3">
      <c r="A20" s="44"/>
      <c r="B20" s="43"/>
      <c r="C20" s="43"/>
      <c r="D20" s="131"/>
      <c r="E20" s="131"/>
      <c r="F20" s="43"/>
    </row>
    <row r="21" spans="1:6" ht="18.95" customHeight="1" x14ac:dyDescent="0.3">
      <c r="A21" s="44"/>
      <c r="B21" s="43"/>
      <c r="C21" s="43"/>
      <c r="D21" s="131"/>
      <c r="E21" s="131"/>
      <c r="F21" s="43"/>
    </row>
    <row r="22" spans="1:6" ht="18.600000000000001" customHeight="1" x14ac:dyDescent="0.3">
      <c r="A22" s="44"/>
      <c r="B22" s="43"/>
      <c r="C22" s="43"/>
      <c r="D22" s="131"/>
      <c r="E22" s="131"/>
      <c r="F22" s="43"/>
    </row>
    <row r="23" spans="1:6" ht="18.95" customHeight="1" x14ac:dyDescent="0.3">
      <c r="A23" s="44"/>
      <c r="B23" s="43"/>
      <c r="C23" s="43"/>
      <c r="D23" s="131"/>
      <c r="E23" s="131"/>
      <c r="F23" s="43"/>
    </row>
    <row r="24" spans="1:6" ht="18.95" customHeight="1" x14ac:dyDescent="0.3">
      <c r="A24" s="44"/>
      <c r="B24" s="43"/>
      <c r="C24" s="43"/>
      <c r="D24" s="131"/>
      <c r="E24" s="131"/>
      <c r="F24" s="43"/>
    </row>
    <row r="25" spans="1:6" ht="18.95" customHeight="1" x14ac:dyDescent="0.3">
      <c r="A25" s="44"/>
      <c r="B25" s="43"/>
      <c r="C25" s="43"/>
      <c r="D25" s="131"/>
      <c r="E25" s="131"/>
      <c r="F25" s="43"/>
    </row>
    <row r="26" spans="1:6" ht="18.95" customHeight="1" x14ac:dyDescent="0.3">
      <c r="A26" s="44"/>
      <c r="B26" s="43"/>
      <c r="C26" s="43"/>
      <c r="D26" s="131"/>
      <c r="E26" s="131"/>
      <c r="F26" s="43"/>
    </row>
    <row r="27" spans="1:6" ht="18.95" customHeight="1" x14ac:dyDescent="0.3">
      <c r="A27" s="44"/>
      <c r="B27" s="43"/>
      <c r="C27" s="43"/>
      <c r="D27" s="131"/>
      <c r="E27" s="131"/>
      <c r="F27" s="43"/>
    </row>
    <row r="28" spans="1:6" ht="18.95" customHeight="1" x14ac:dyDescent="0.3">
      <c r="A28" s="44"/>
      <c r="B28" s="43"/>
      <c r="C28" s="43"/>
      <c r="D28" s="131"/>
      <c r="E28" s="131"/>
      <c r="F28" s="43"/>
    </row>
    <row r="29" spans="1:6" ht="18.95" customHeight="1" x14ac:dyDescent="0.3">
      <c r="A29" s="44"/>
      <c r="B29" s="43"/>
      <c r="C29" s="43"/>
      <c r="D29" s="131"/>
      <c r="E29" s="131"/>
      <c r="F29" s="43"/>
    </row>
    <row r="30" spans="1:6" ht="18.95" customHeight="1" x14ac:dyDescent="0.3">
      <c r="A30" s="44"/>
      <c r="B30" s="43"/>
      <c r="C30" s="43"/>
      <c r="D30" s="131"/>
      <c r="E30" s="131"/>
      <c r="F30" s="43"/>
    </row>
    <row r="31" spans="1:6" ht="18.95" customHeight="1" x14ac:dyDescent="0.3">
      <c r="A31" s="44"/>
      <c r="B31" s="43"/>
      <c r="C31" s="43"/>
      <c r="D31" s="131"/>
      <c r="E31" s="131"/>
      <c r="F31" s="43"/>
    </row>
    <row r="32" spans="1:6" ht="18.95" customHeight="1" x14ac:dyDescent="0.3">
      <c r="A32" s="44"/>
      <c r="B32" s="43"/>
      <c r="C32" s="43"/>
      <c r="D32" s="131"/>
      <c r="E32" s="131"/>
      <c r="F32" s="43"/>
    </row>
    <row r="33" spans="1:6" ht="18.95" customHeight="1" x14ac:dyDescent="0.25">
      <c r="A33" s="136" t="s">
        <v>77</v>
      </c>
      <c r="B33" s="136"/>
      <c r="C33" s="136"/>
      <c r="D33" s="136"/>
      <c r="E33" s="136"/>
      <c r="F33" s="136"/>
    </row>
    <row r="34" spans="1:6" ht="18.95" customHeight="1" x14ac:dyDescent="0.25">
      <c r="A34" s="150" t="s">
        <v>78</v>
      </c>
      <c r="B34" s="151"/>
      <c r="C34" s="152" t="s">
        <v>79</v>
      </c>
      <c r="D34" s="153"/>
      <c r="E34" s="153"/>
      <c r="F34" s="154"/>
    </row>
    <row r="35" spans="1:6" ht="18.95" customHeight="1" x14ac:dyDescent="0.25">
      <c r="A35" s="135" t="s">
        <v>90</v>
      </c>
      <c r="B35" s="135"/>
      <c r="C35" s="135"/>
      <c r="D35" s="135"/>
      <c r="E35" s="135"/>
      <c r="F35" s="135"/>
    </row>
    <row r="36" spans="1:6" ht="18.95" customHeight="1" x14ac:dyDescent="0.25">
      <c r="A36" s="135"/>
      <c r="B36" s="135"/>
      <c r="C36" s="135"/>
      <c r="D36" s="135"/>
      <c r="E36" s="135"/>
      <c r="F36" s="135"/>
    </row>
    <row r="37" spans="1:6" ht="14.45" customHeight="1" x14ac:dyDescent="0.25">
      <c r="A37" s="135"/>
      <c r="B37" s="135"/>
      <c r="C37" s="135"/>
      <c r="D37" s="135"/>
      <c r="E37" s="135"/>
      <c r="F37" s="135"/>
    </row>
    <row r="38" spans="1:6" ht="14.45" customHeight="1" x14ac:dyDescent="0.25">
      <c r="A38" s="135"/>
      <c r="B38" s="135"/>
      <c r="C38" s="135"/>
      <c r="D38" s="135"/>
      <c r="E38" s="135"/>
      <c r="F38" s="135"/>
    </row>
    <row r="39" spans="1:6" x14ac:dyDescent="0.25">
      <c r="A39" s="135"/>
      <c r="B39" s="135"/>
      <c r="C39" s="135"/>
      <c r="D39" s="135"/>
      <c r="E39" s="135"/>
      <c r="F39" s="135"/>
    </row>
  </sheetData>
  <mergeCells count="40">
    <mergeCell ref="A33:F33"/>
    <mergeCell ref="A34:B34"/>
    <mergeCell ref="C34:F34"/>
    <mergeCell ref="A35:F39"/>
    <mergeCell ref="D27:E27"/>
    <mergeCell ref="D28:E28"/>
    <mergeCell ref="D29:E29"/>
    <mergeCell ref="D30:E30"/>
    <mergeCell ref="D31:E31"/>
    <mergeCell ref="D32:E32"/>
    <mergeCell ref="D26:E26"/>
    <mergeCell ref="D15:E15"/>
    <mergeCell ref="D16:E16"/>
    <mergeCell ref="D17:E17"/>
    <mergeCell ref="D18:E18"/>
    <mergeCell ref="D19:E19"/>
    <mergeCell ref="D20:E20"/>
    <mergeCell ref="D21:E21"/>
    <mergeCell ref="D22:E22"/>
    <mergeCell ref="D23:E23"/>
    <mergeCell ref="D24:E24"/>
    <mergeCell ref="D25:E25"/>
    <mergeCell ref="D14:E14"/>
    <mergeCell ref="C4:D4"/>
    <mergeCell ref="E4:F4"/>
    <mergeCell ref="A5:F5"/>
    <mergeCell ref="B6:E6"/>
    <mergeCell ref="B7:E7"/>
    <mergeCell ref="B8:E8"/>
    <mergeCell ref="B9:E9"/>
    <mergeCell ref="B10:E10"/>
    <mergeCell ref="B11:E11"/>
    <mergeCell ref="B12:E12"/>
    <mergeCell ref="A13:F13"/>
    <mergeCell ref="C1:D1"/>
    <mergeCell ref="E1:F1"/>
    <mergeCell ref="C2:D2"/>
    <mergeCell ref="E2:F2"/>
    <mergeCell ref="C3:D3"/>
    <mergeCell ref="E3:F3"/>
  </mergeCells>
  <conditionalFormatting sqref="A15:A16">
    <cfRule type="duplicateValues" dxfId="3" priority="1"/>
    <cfRule type="duplicateValues" dxfId="2" priority="2"/>
  </conditionalFormatting>
  <pageMargins left="0.7" right="0.7" top="0.75" bottom="0.75" header="0.3" footer="0.3"/>
  <pageSetup scale="97" fitToHeight="0" orientation="portrait" r:id="rId1"/>
  <headerFooter>
    <oddHeader>&amp;C&amp;"-,Bold Italic"&amp;20&amp;UVoilà Van Pre-Load Form</oddHeader>
    <oddFooter>&amp;L&amp;8Document No: CFC233.02 – Voilà Van Pre-Load Form
Revision Date: March 9, 2022
Issue Date: September 30, 2020&amp;R&amp;8Page 1 of 1
Revision Level: 2
Supercedes:CFC233.01</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EFC07-8A42-49B1-A591-3D22E899AD09}">
  <sheetPr>
    <pageSetUpPr fitToPage="1"/>
  </sheetPr>
  <dimension ref="A1:O49"/>
  <sheetViews>
    <sheetView showGridLines="0" zoomScale="145" zoomScaleNormal="145" workbookViewId="0">
      <selection activeCell="T16" sqref="T16"/>
    </sheetView>
  </sheetViews>
  <sheetFormatPr defaultRowHeight="15" x14ac:dyDescent="0.25"/>
  <cols>
    <col min="1" max="1" width="4.7109375" customWidth="1"/>
    <col min="2" max="2" width="5.5703125" customWidth="1"/>
    <col min="3" max="4" width="4.7109375" customWidth="1"/>
    <col min="5" max="5" width="5.28515625" bestFit="1" customWidth="1"/>
    <col min="6" max="6" width="4.7109375" customWidth="1"/>
    <col min="14" max="15" width="4.7109375" customWidth="1"/>
  </cols>
  <sheetData>
    <row r="1" spans="1:15" x14ac:dyDescent="0.25">
      <c r="A1" s="55" t="s">
        <v>0</v>
      </c>
      <c r="B1" s="55"/>
      <c r="C1" s="55"/>
      <c r="D1" s="55"/>
      <c r="E1" s="55"/>
      <c r="F1" s="1"/>
      <c r="G1" s="1"/>
      <c r="H1" s="1"/>
      <c r="I1" s="2"/>
      <c r="J1" s="2"/>
      <c r="K1" s="2"/>
      <c r="L1" s="2"/>
      <c r="M1" s="2"/>
      <c r="N1" s="2"/>
      <c r="O1" s="1"/>
    </row>
    <row r="2" spans="1:15" x14ac:dyDescent="0.25">
      <c r="A2" s="56" t="s">
        <v>1</v>
      </c>
      <c r="B2" s="56"/>
      <c r="C2" s="56"/>
      <c r="D2" s="56"/>
      <c r="E2" s="56"/>
      <c r="F2" s="2"/>
      <c r="G2" s="2"/>
      <c r="H2" s="3"/>
      <c r="I2" s="2" t="s">
        <v>2</v>
      </c>
      <c r="J2" s="57">
        <f ca="1">TODAY()</f>
        <v>45980</v>
      </c>
      <c r="K2" s="58"/>
      <c r="L2" s="2"/>
      <c r="M2" s="2"/>
      <c r="N2" s="2"/>
      <c r="O2" s="4"/>
    </row>
    <row r="3" spans="1:15" x14ac:dyDescent="0.25">
      <c r="A3" s="5" t="s">
        <v>3</v>
      </c>
      <c r="B3" s="1"/>
      <c r="C3" s="6"/>
      <c r="D3" s="6"/>
      <c r="E3" s="6"/>
      <c r="F3" s="6"/>
      <c r="G3" s="1"/>
      <c r="H3" s="7"/>
      <c r="I3" s="71" t="s">
        <v>4</v>
      </c>
      <c r="J3" s="60"/>
      <c r="K3" s="72" t="str">
        <f ca="1">"V_" &amp; TEXT(J2,"yyyymmdd") &amp; "_" &amp; K7</f>
        <v>V_20251119_53252</v>
      </c>
      <c r="L3" s="72"/>
      <c r="M3" s="72"/>
      <c r="N3" s="72"/>
      <c r="O3" s="73"/>
    </row>
    <row r="4" spans="1:15" x14ac:dyDescent="0.25">
      <c r="A4" s="68" t="s">
        <v>5</v>
      </c>
      <c r="B4" s="69"/>
      <c r="C4" s="69"/>
      <c r="D4" s="69"/>
      <c r="E4" s="69"/>
      <c r="F4" s="69"/>
      <c r="G4" s="1"/>
      <c r="H4" s="8"/>
      <c r="I4" s="1"/>
      <c r="J4" s="1"/>
      <c r="K4" s="1"/>
      <c r="L4" s="1"/>
      <c r="M4" s="1"/>
      <c r="N4" s="1"/>
      <c r="O4" s="8"/>
    </row>
    <row r="5" spans="1:15" x14ac:dyDescent="0.25">
      <c r="A5" s="68"/>
      <c r="B5" s="69"/>
      <c r="C5" s="69"/>
      <c r="D5" s="69"/>
      <c r="E5" s="69"/>
      <c r="F5" s="69"/>
      <c r="G5" s="1"/>
      <c r="H5" s="8"/>
      <c r="I5" s="2"/>
      <c r="J5" s="2"/>
      <c r="K5" s="2"/>
      <c r="L5" s="2"/>
      <c r="M5" s="2"/>
      <c r="N5" s="2"/>
      <c r="O5" s="3"/>
    </row>
    <row r="6" spans="1:15" x14ac:dyDescent="0.25">
      <c r="A6" s="68"/>
      <c r="B6" s="69"/>
      <c r="C6" s="69"/>
      <c r="D6" s="69"/>
      <c r="E6" s="69"/>
      <c r="F6" s="69"/>
      <c r="G6" s="1"/>
      <c r="H6" s="8"/>
      <c r="I6" s="63" t="s">
        <v>6</v>
      </c>
      <c r="J6" s="63"/>
      <c r="K6" s="62" t="s">
        <v>93</v>
      </c>
      <c r="L6" s="62"/>
      <c r="M6" s="1"/>
      <c r="N6" s="9"/>
      <c r="O6" s="8"/>
    </row>
    <row r="7" spans="1:15" x14ac:dyDescent="0.25">
      <c r="A7" s="10" t="s">
        <v>8</v>
      </c>
      <c r="B7" s="66"/>
      <c r="C7" s="66"/>
      <c r="D7" s="2"/>
      <c r="E7" s="2"/>
      <c r="F7" s="2"/>
      <c r="G7" s="2"/>
      <c r="H7" s="3"/>
      <c r="I7" s="63" t="s">
        <v>9</v>
      </c>
      <c r="J7" s="63"/>
      <c r="K7" s="70">
        <v>53252</v>
      </c>
      <c r="L7" s="70"/>
      <c r="M7" s="9"/>
      <c r="N7" s="9"/>
      <c r="O7" s="8"/>
    </row>
    <row r="8" spans="1:15" x14ac:dyDescent="0.25">
      <c r="A8" s="5" t="s">
        <v>10</v>
      </c>
      <c r="B8" s="11"/>
      <c r="C8" s="11"/>
      <c r="D8" s="11"/>
      <c r="E8" s="11"/>
      <c r="F8" s="67" t="s">
        <v>11</v>
      </c>
      <c r="G8" s="67"/>
      <c r="H8" s="8"/>
      <c r="I8" s="64" t="s">
        <v>12</v>
      </c>
      <c r="J8" s="65"/>
      <c r="K8" s="70">
        <v>23635235</v>
      </c>
      <c r="L8" s="70"/>
      <c r="M8" s="12"/>
      <c r="N8" s="12"/>
      <c r="O8" s="3"/>
    </row>
    <row r="9" spans="1:15" x14ac:dyDescent="0.25">
      <c r="A9" s="68" t="s">
        <v>83</v>
      </c>
      <c r="B9" s="69"/>
      <c r="C9" s="69"/>
      <c r="D9" s="69"/>
      <c r="E9" s="69"/>
      <c r="F9" s="69"/>
      <c r="G9" s="1"/>
      <c r="H9" s="8"/>
      <c r="I9" s="13" t="s">
        <v>14</v>
      </c>
      <c r="J9" s="32" t="s">
        <v>15</v>
      </c>
      <c r="K9" s="1"/>
      <c r="L9" s="1"/>
      <c r="M9" s="1"/>
      <c r="N9" s="1"/>
      <c r="O9" s="8"/>
    </row>
    <row r="10" spans="1:15" x14ac:dyDescent="0.25">
      <c r="A10" s="68"/>
      <c r="B10" s="69"/>
      <c r="C10" s="69"/>
      <c r="D10" s="69"/>
      <c r="E10" s="69"/>
      <c r="F10" s="69"/>
      <c r="G10" s="1"/>
      <c r="H10" s="8"/>
      <c r="I10" s="13" t="s">
        <v>16</v>
      </c>
      <c r="J10" s="1"/>
      <c r="K10" s="1"/>
      <c r="L10" s="1"/>
      <c r="M10" s="1"/>
      <c r="N10" s="1"/>
      <c r="O10" s="8"/>
    </row>
    <row r="11" spans="1:15" x14ac:dyDescent="0.25">
      <c r="A11" s="68"/>
      <c r="B11" s="69"/>
      <c r="C11" s="69"/>
      <c r="D11" s="69"/>
      <c r="E11" s="69"/>
      <c r="F11" s="69"/>
      <c r="G11" s="1"/>
      <c r="H11" s="8"/>
      <c r="I11" s="1"/>
      <c r="J11" s="1"/>
      <c r="K11" s="1"/>
      <c r="L11" s="1"/>
      <c r="M11" s="1"/>
      <c r="N11" s="1"/>
      <c r="O11" s="8"/>
    </row>
    <row r="12" spans="1:15" x14ac:dyDescent="0.25">
      <c r="A12" s="10" t="s">
        <v>17</v>
      </c>
      <c r="B12" s="66"/>
      <c r="C12" s="66"/>
      <c r="D12" s="2"/>
      <c r="E12" s="2"/>
      <c r="F12" s="2"/>
      <c r="G12" s="2"/>
      <c r="H12" s="3"/>
      <c r="I12" s="2"/>
      <c r="J12" s="2"/>
      <c r="K12" s="2"/>
      <c r="L12" s="2"/>
      <c r="M12" s="2"/>
      <c r="N12" s="2"/>
      <c r="O12" s="3"/>
    </row>
    <row r="13" spans="1:15" x14ac:dyDescent="0.25">
      <c r="A13" s="158" t="s">
        <v>18</v>
      </c>
      <c r="B13" s="159"/>
      <c r="C13" s="159"/>
      <c r="D13" s="159"/>
      <c r="E13" s="159"/>
      <c r="F13" s="159"/>
      <c r="G13" s="159"/>
      <c r="H13" s="160"/>
      <c r="I13" s="157" t="s">
        <v>19</v>
      </c>
      <c r="J13" s="157"/>
      <c r="K13" s="1"/>
      <c r="L13" s="1"/>
      <c r="M13" s="1"/>
      <c r="N13" s="1"/>
      <c r="O13" s="8"/>
    </row>
    <row r="14" spans="1:15" x14ac:dyDescent="0.25">
      <c r="A14" s="14"/>
      <c r="B14" s="2"/>
      <c r="C14" s="2"/>
      <c r="D14" s="2"/>
      <c r="E14" s="2"/>
      <c r="F14" s="2"/>
      <c r="G14" s="2"/>
      <c r="H14" s="3"/>
      <c r="I14" s="1"/>
      <c r="J14" s="1"/>
      <c r="K14" s="1"/>
      <c r="L14" s="1"/>
      <c r="M14" s="1"/>
      <c r="N14" s="1"/>
      <c r="O14" s="8"/>
    </row>
    <row r="15" spans="1:15" x14ac:dyDescent="0.25">
      <c r="A15" s="71" t="s">
        <v>21</v>
      </c>
      <c r="B15" s="60"/>
      <c r="C15" s="60"/>
      <c r="D15" s="60"/>
      <c r="E15" s="60"/>
      <c r="F15" s="60"/>
      <c r="G15" s="60"/>
      <c r="H15" s="8"/>
      <c r="I15" s="1"/>
      <c r="J15" s="1" t="s">
        <v>92</v>
      </c>
      <c r="K15" s="1"/>
      <c r="L15" s="1"/>
      <c r="M15" s="1"/>
      <c r="N15" s="1"/>
      <c r="O15" s="8"/>
    </row>
    <row r="16" spans="1:15" x14ac:dyDescent="0.25">
      <c r="A16" s="15"/>
      <c r="B16" s="1"/>
      <c r="C16" s="1"/>
      <c r="D16" s="1"/>
      <c r="E16" s="1"/>
      <c r="F16" s="1"/>
      <c r="G16" s="1"/>
      <c r="H16" s="8"/>
      <c r="I16" s="1"/>
      <c r="J16" s="1"/>
      <c r="K16" s="1"/>
      <c r="L16" s="1"/>
      <c r="M16" s="1"/>
      <c r="N16" s="1"/>
      <c r="O16" s="8"/>
    </row>
    <row r="17" spans="1:15" x14ac:dyDescent="0.25">
      <c r="A17" s="15"/>
      <c r="B17" s="1"/>
      <c r="C17" s="1"/>
      <c r="D17" s="1"/>
      <c r="E17" s="1"/>
      <c r="F17" s="1"/>
      <c r="G17" s="1"/>
      <c r="H17" s="8"/>
      <c r="I17" s="1"/>
      <c r="J17" s="1"/>
      <c r="K17" s="1"/>
      <c r="L17" s="1"/>
      <c r="M17" s="1"/>
      <c r="N17" s="1"/>
      <c r="O17" s="8"/>
    </row>
    <row r="18" spans="1:15" ht="15.75" thickBot="1" x14ac:dyDescent="0.3">
      <c r="A18" s="53"/>
      <c r="B18" s="16"/>
      <c r="C18" s="16"/>
      <c r="D18" s="16"/>
      <c r="E18" s="16"/>
      <c r="F18" s="16"/>
      <c r="G18" s="16"/>
      <c r="H18" s="52"/>
      <c r="I18" s="16"/>
      <c r="J18" s="16"/>
      <c r="K18" s="16"/>
      <c r="L18" s="16"/>
      <c r="M18" s="16"/>
      <c r="N18" s="16"/>
      <c r="O18" s="52"/>
    </row>
    <row r="19" spans="1:15" x14ac:dyDescent="0.25">
      <c r="A19" s="74" t="s">
        <v>27</v>
      </c>
      <c r="B19" s="75"/>
      <c r="C19" s="76" t="s">
        <v>28</v>
      </c>
      <c r="D19" s="75"/>
      <c r="E19" s="77"/>
      <c r="F19" s="78"/>
      <c r="G19" s="129" t="s">
        <v>29</v>
      </c>
      <c r="H19" s="130"/>
      <c r="I19" s="130"/>
      <c r="J19" s="130"/>
      <c r="K19" s="130"/>
      <c r="L19" s="130"/>
      <c r="M19" s="156"/>
      <c r="N19" s="130" t="s">
        <v>30</v>
      </c>
      <c r="O19" s="156"/>
    </row>
    <row r="20" spans="1:15" ht="33.75" customHeight="1" x14ac:dyDescent="0.25">
      <c r="A20" s="17" t="s">
        <v>31</v>
      </c>
      <c r="B20" s="18" t="s">
        <v>32</v>
      </c>
      <c r="C20" s="17" t="s">
        <v>31</v>
      </c>
      <c r="D20" s="18" t="s">
        <v>32</v>
      </c>
      <c r="E20" s="19" t="s">
        <v>33</v>
      </c>
      <c r="F20" s="20" t="s">
        <v>34</v>
      </c>
      <c r="G20" s="126" t="s">
        <v>35</v>
      </c>
      <c r="H20" s="127"/>
      <c r="I20" s="127"/>
      <c r="J20" s="127"/>
      <c r="K20" s="127"/>
      <c r="L20" s="127"/>
      <c r="M20" s="128"/>
      <c r="N20" s="21" t="s">
        <v>36</v>
      </c>
      <c r="O20" s="22" t="s">
        <v>37</v>
      </c>
    </row>
    <row r="21" spans="1:15" x14ac:dyDescent="0.25">
      <c r="A21" s="30">
        <v>32</v>
      </c>
      <c r="B21" s="24" t="s">
        <v>38</v>
      </c>
      <c r="C21" s="23">
        <f>20*A21</f>
        <v>640</v>
      </c>
      <c r="D21" s="24" t="s">
        <v>39</v>
      </c>
      <c r="E21" s="25">
        <f>SUM((A21*50),(C21*37))</f>
        <v>25280</v>
      </c>
      <c r="F21" s="24"/>
      <c r="G21" s="88" t="s">
        <v>40</v>
      </c>
      <c r="H21" s="89"/>
      <c r="I21" s="89"/>
      <c r="J21" s="89"/>
      <c r="K21" s="89"/>
      <c r="L21" s="89"/>
      <c r="M21" s="90"/>
      <c r="N21" s="23"/>
      <c r="O21" s="24"/>
    </row>
    <row r="22" spans="1:15" x14ac:dyDescent="0.25">
      <c r="A22" s="23"/>
      <c r="B22" s="24"/>
      <c r="C22" s="23"/>
      <c r="D22" s="24"/>
      <c r="E22" s="23"/>
      <c r="F22" s="24"/>
      <c r="G22" s="88"/>
      <c r="H22" s="89"/>
      <c r="I22" s="89"/>
      <c r="J22" s="89"/>
      <c r="K22" s="89"/>
      <c r="L22" s="89"/>
      <c r="M22" s="90"/>
      <c r="N22" s="23"/>
      <c r="O22" s="24"/>
    </row>
    <row r="23" spans="1:15" x14ac:dyDescent="0.25">
      <c r="A23" s="23"/>
      <c r="B23" s="24"/>
      <c r="C23" s="23"/>
      <c r="D23" s="24"/>
      <c r="E23" s="23"/>
      <c r="F23" s="24"/>
      <c r="G23" s="88"/>
      <c r="H23" s="89"/>
      <c r="I23" s="89"/>
      <c r="J23" s="89"/>
      <c r="K23" s="89"/>
      <c r="L23" s="89"/>
      <c r="M23" s="90"/>
      <c r="N23" s="23"/>
      <c r="O23" s="24"/>
    </row>
    <row r="24" spans="1:15" x14ac:dyDescent="0.25">
      <c r="A24" s="23"/>
      <c r="B24" s="24"/>
      <c r="C24" s="23"/>
      <c r="D24" s="24"/>
      <c r="E24" s="23"/>
      <c r="F24" s="24"/>
      <c r="G24" s="88"/>
      <c r="H24" s="89"/>
      <c r="I24" s="89"/>
      <c r="J24" s="89"/>
      <c r="K24" s="89"/>
      <c r="L24" s="89"/>
      <c r="M24" s="90"/>
      <c r="N24" s="23"/>
      <c r="O24" s="24"/>
    </row>
    <row r="25" spans="1:15" x14ac:dyDescent="0.25">
      <c r="A25" s="23"/>
      <c r="B25" s="24"/>
      <c r="C25" s="23"/>
      <c r="D25" s="24"/>
      <c r="E25" s="23"/>
      <c r="F25" s="24"/>
      <c r="G25" s="88"/>
      <c r="H25" s="89"/>
      <c r="I25" s="89"/>
      <c r="J25" s="89"/>
      <c r="K25" s="89"/>
      <c r="L25" s="89"/>
      <c r="M25" s="90"/>
      <c r="N25" s="23"/>
      <c r="O25" s="24"/>
    </row>
    <row r="26" spans="1:15" x14ac:dyDescent="0.25">
      <c r="A26" s="23"/>
      <c r="B26" s="24"/>
      <c r="C26" s="23"/>
      <c r="D26" s="24"/>
      <c r="E26" s="23"/>
      <c r="F26" s="24"/>
      <c r="G26" s="88"/>
      <c r="H26" s="89"/>
      <c r="I26" s="89"/>
      <c r="J26" s="89"/>
      <c r="K26" s="89"/>
      <c r="L26" s="89"/>
      <c r="M26" s="90"/>
      <c r="N26" s="23"/>
      <c r="O26" s="24"/>
    </row>
    <row r="27" spans="1:15" ht="15.75" thickBot="1" x14ac:dyDescent="0.3">
      <c r="A27" s="26">
        <f>SUM(A21:A26)</f>
        <v>32</v>
      </c>
      <c r="B27" s="27"/>
      <c r="C27" s="26">
        <f>SUM(C21:C26)</f>
        <v>640</v>
      </c>
      <c r="D27" s="27"/>
      <c r="E27" s="26">
        <f>SUM(E21:E26)</f>
        <v>25280</v>
      </c>
      <c r="F27" s="27"/>
      <c r="G27" s="108" t="s">
        <v>41</v>
      </c>
      <c r="H27" s="109"/>
      <c r="I27" s="109"/>
      <c r="J27" s="109"/>
      <c r="K27" s="109"/>
      <c r="L27" s="109"/>
      <c r="M27" s="110"/>
      <c r="N27" s="27"/>
      <c r="O27" s="27"/>
    </row>
    <row r="28" spans="1:15" ht="15" customHeight="1" x14ac:dyDescent="0.25">
      <c r="A28" s="103" t="s">
        <v>42</v>
      </c>
      <c r="B28" s="104"/>
      <c r="C28" s="104"/>
      <c r="D28" s="104"/>
      <c r="E28" s="104"/>
      <c r="F28" s="104"/>
      <c r="G28" s="104"/>
      <c r="H28" s="105"/>
      <c r="I28" s="103" t="s">
        <v>43</v>
      </c>
      <c r="J28" s="104"/>
      <c r="K28" s="104"/>
      <c r="L28" s="104"/>
      <c r="M28" s="104"/>
      <c r="N28" s="104"/>
      <c r="O28" s="105"/>
    </row>
    <row r="29" spans="1:15" x14ac:dyDescent="0.25">
      <c r="A29" s="94"/>
      <c r="B29" s="95"/>
      <c r="C29" s="95"/>
      <c r="D29" s="95"/>
      <c r="E29" s="95"/>
      <c r="F29" s="95"/>
      <c r="G29" s="95"/>
      <c r="H29" s="96"/>
      <c r="I29" s="94"/>
      <c r="J29" s="95"/>
      <c r="K29" s="95"/>
      <c r="L29" s="95"/>
      <c r="M29" s="95"/>
      <c r="N29" s="95"/>
      <c r="O29" s="96"/>
    </row>
    <row r="30" spans="1:15" x14ac:dyDescent="0.25">
      <c r="A30" s="94"/>
      <c r="B30" s="95"/>
      <c r="C30" s="95"/>
      <c r="D30" s="95"/>
      <c r="E30" s="95"/>
      <c r="F30" s="95"/>
      <c r="G30" s="95"/>
      <c r="H30" s="96"/>
      <c r="I30" s="1"/>
      <c r="J30" s="1"/>
      <c r="K30" s="1"/>
      <c r="L30" s="1"/>
      <c r="M30" s="1"/>
      <c r="N30" s="1"/>
      <c r="O30" s="8"/>
    </row>
    <row r="31" spans="1:15" x14ac:dyDescent="0.25">
      <c r="A31" s="94" t="s">
        <v>44</v>
      </c>
      <c r="B31" s="95"/>
      <c r="C31" s="95"/>
      <c r="D31" s="95"/>
      <c r="E31" s="95"/>
      <c r="F31" s="95"/>
      <c r="G31" s="95"/>
      <c r="H31" s="96"/>
      <c r="I31" s="14"/>
      <c r="J31" s="2"/>
      <c r="K31" s="2"/>
      <c r="L31" s="1"/>
      <c r="M31" s="1"/>
      <c r="N31" s="1"/>
      <c r="O31" s="8"/>
    </row>
    <row r="32" spans="1:15" x14ac:dyDescent="0.25">
      <c r="A32" s="94"/>
      <c r="B32" s="95"/>
      <c r="C32" s="95"/>
      <c r="D32" s="95"/>
      <c r="E32" s="95"/>
      <c r="F32" s="95"/>
      <c r="G32" s="95"/>
      <c r="H32" s="96"/>
      <c r="I32" s="106" t="s">
        <v>45</v>
      </c>
      <c r="J32" s="107"/>
      <c r="K32" s="1"/>
      <c r="L32" s="1"/>
      <c r="M32" s="1"/>
      <c r="N32" s="1"/>
      <c r="O32" s="8"/>
    </row>
    <row r="33" spans="1:15" x14ac:dyDescent="0.25">
      <c r="A33" s="14"/>
      <c r="B33" s="2"/>
      <c r="C33" s="2"/>
      <c r="D33" s="2"/>
      <c r="E33" s="1" t="s">
        <v>46</v>
      </c>
      <c r="F33" s="2"/>
      <c r="G33" s="2"/>
      <c r="H33" s="8"/>
      <c r="I33" s="1"/>
      <c r="J33" s="1"/>
      <c r="K33" s="1"/>
      <c r="L33" s="1"/>
      <c r="M33" s="1"/>
      <c r="N33" s="1"/>
      <c r="O33" s="8"/>
    </row>
    <row r="34" spans="1:15" x14ac:dyDescent="0.25">
      <c r="A34" s="31"/>
      <c r="B34" s="2"/>
      <c r="C34" s="2"/>
      <c r="D34" s="2"/>
      <c r="E34" s="2"/>
      <c r="F34" s="2"/>
      <c r="G34" s="2"/>
      <c r="H34" s="3"/>
      <c r="I34" s="2"/>
      <c r="J34" s="2"/>
      <c r="K34" s="2"/>
      <c r="L34" s="2"/>
      <c r="M34" s="2"/>
      <c r="N34" s="2"/>
      <c r="O34" s="3"/>
    </row>
    <row r="35" spans="1:15" x14ac:dyDescent="0.25">
      <c r="A35" s="100" t="s">
        <v>47</v>
      </c>
      <c r="B35" s="101"/>
      <c r="C35" s="101"/>
      <c r="D35" s="101"/>
      <c r="E35" s="101"/>
      <c r="F35" s="101"/>
      <c r="G35" s="101"/>
      <c r="H35" s="101"/>
      <c r="I35" s="101"/>
      <c r="J35" s="101"/>
      <c r="K35" s="101"/>
      <c r="L35" s="101"/>
      <c r="M35" s="101"/>
      <c r="N35" s="101"/>
      <c r="O35" s="102"/>
    </row>
    <row r="36" spans="1:15" x14ac:dyDescent="0.25">
      <c r="A36" s="91" t="s">
        <v>48</v>
      </c>
      <c r="B36" s="92"/>
      <c r="C36" s="92"/>
      <c r="D36" s="92"/>
      <c r="E36" s="92"/>
      <c r="F36" s="92"/>
      <c r="G36" s="92"/>
      <c r="H36" s="92"/>
      <c r="I36" s="92"/>
      <c r="J36" s="92"/>
      <c r="K36" s="92"/>
      <c r="L36" s="92"/>
      <c r="M36" s="92"/>
      <c r="N36" s="92"/>
      <c r="O36" s="93"/>
    </row>
    <row r="37" spans="1:15" x14ac:dyDescent="0.25">
      <c r="A37" s="94"/>
      <c r="B37" s="95"/>
      <c r="C37" s="95"/>
      <c r="D37" s="95"/>
      <c r="E37" s="95"/>
      <c r="F37" s="95"/>
      <c r="G37" s="95"/>
      <c r="H37" s="95"/>
      <c r="I37" s="95"/>
      <c r="J37" s="95"/>
      <c r="K37" s="95"/>
      <c r="L37" s="95"/>
      <c r="M37" s="95"/>
      <c r="N37" s="95"/>
      <c r="O37" s="96"/>
    </row>
    <row r="38" spans="1:15" x14ac:dyDescent="0.25">
      <c r="A38" s="94"/>
      <c r="B38" s="95"/>
      <c r="C38" s="95"/>
      <c r="D38" s="95"/>
      <c r="E38" s="95"/>
      <c r="F38" s="95"/>
      <c r="G38" s="95"/>
      <c r="H38" s="95"/>
      <c r="I38" s="95"/>
      <c r="J38" s="95"/>
      <c r="K38" s="95"/>
      <c r="L38" s="95"/>
      <c r="M38" s="95"/>
      <c r="N38" s="95"/>
      <c r="O38" s="96"/>
    </row>
    <row r="39" spans="1:15" ht="15" customHeight="1" x14ac:dyDescent="0.25">
      <c r="A39" s="94"/>
      <c r="B39" s="95"/>
      <c r="C39" s="95"/>
      <c r="D39" s="95"/>
      <c r="E39" s="95"/>
      <c r="F39" s="95"/>
      <c r="G39" s="95"/>
      <c r="H39" s="95"/>
      <c r="I39" s="95"/>
      <c r="J39" s="95"/>
      <c r="K39" s="95"/>
      <c r="L39" s="95"/>
      <c r="M39" s="95"/>
      <c r="N39" s="95"/>
      <c r="O39" s="96"/>
    </row>
    <row r="40" spans="1:15" ht="15" customHeight="1" x14ac:dyDescent="0.25">
      <c r="A40" s="94"/>
      <c r="B40" s="95"/>
      <c r="C40" s="95"/>
      <c r="D40" s="95"/>
      <c r="E40" s="95"/>
      <c r="F40" s="95"/>
      <c r="G40" s="95"/>
      <c r="H40" s="95"/>
      <c r="I40" s="95"/>
      <c r="J40" s="95"/>
      <c r="K40" s="95"/>
      <c r="L40" s="95"/>
      <c r="M40" s="95"/>
      <c r="N40" s="95"/>
      <c r="O40" s="96"/>
    </row>
    <row r="41" spans="1:15" x14ac:dyDescent="0.25">
      <c r="A41" s="97"/>
      <c r="B41" s="98"/>
      <c r="C41" s="98"/>
      <c r="D41" s="98"/>
      <c r="E41" s="98"/>
      <c r="F41" s="98"/>
      <c r="G41" s="98"/>
      <c r="H41" s="98"/>
      <c r="I41" s="98"/>
      <c r="J41" s="98"/>
      <c r="K41" s="98"/>
      <c r="L41" s="98"/>
      <c r="M41" s="98"/>
      <c r="N41" s="98"/>
      <c r="O41" s="99"/>
    </row>
    <row r="42" spans="1:15" ht="15" customHeight="1" x14ac:dyDescent="0.25">
      <c r="A42" s="94" t="s">
        <v>49</v>
      </c>
      <c r="B42" s="95"/>
      <c r="C42" s="95"/>
      <c r="D42" s="95"/>
      <c r="E42" s="95"/>
      <c r="F42" s="96"/>
      <c r="G42" s="117" t="s">
        <v>50</v>
      </c>
      <c r="H42" s="118"/>
      <c r="I42" s="28" t="s">
        <v>51</v>
      </c>
      <c r="J42" s="8"/>
      <c r="K42" s="95" t="s">
        <v>52</v>
      </c>
      <c r="L42" s="95"/>
      <c r="M42" s="95"/>
      <c r="N42" s="95"/>
      <c r="O42" s="96"/>
    </row>
    <row r="43" spans="1:15" x14ac:dyDescent="0.25">
      <c r="A43" s="94"/>
      <c r="B43" s="95"/>
      <c r="C43" s="95"/>
      <c r="D43" s="95"/>
      <c r="E43" s="95"/>
      <c r="F43" s="96"/>
      <c r="G43" s="1"/>
      <c r="H43" s="1"/>
      <c r="I43" s="1"/>
      <c r="J43" s="8"/>
      <c r="K43" s="95"/>
      <c r="L43" s="95"/>
      <c r="M43" s="95"/>
      <c r="N43" s="95"/>
      <c r="O43" s="96"/>
    </row>
    <row r="44" spans="1:15" x14ac:dyDescent="0.25">
      <c r="A44" s="94"/>
      <c r="B44" s="95"/>
      <c r="C44" s="95"/>
      <c r="D44" s="95"/>
      <c r="E44" s="95"/>
      <c r="F44" s="96"/>
      <c r="G44" s="1"/>
      <c r="H44" s="1"/>
      <c r="I44" s="1"/>
      <c r="J44" s="8"/>
      <c r="K44" s="95"/>
      <c r="L44" s="95"/>
      <c r="M44" s="95"/>
      <c r="N44" s="95"/>
      <c r="O44" s="96"/>
    </row>
    <row r="45" spans="1:15" x14ac:dyDescent="0.25">
      <c r="A45" s="94"/>
      <c r="B45" s="95"/>
      <c r="C45" s="95"/>
      <c r="D45" s="95"/>
      <c r="E45" s="95"/>
      <c r="F45" s="96"/>
      <c r="G45" s="1"/>
      <c r="H45" s="1"/>
      <c r="I45" s="1"/>
      <c r="J45" s="8"/>
      <c r="K45" s="95"/>
      <c r="L45" s="95"/>
      <c r="M45" s="95"/>
      <c r="N45" s="95"/>
      <c r="O45" s="96"/>
    </row>
    <row r="46" spans="1:15" x14ac:dyDescent="0.25">
      <c r="A46" s="94"/>
      <c r="B46" s="95"/>
      <c r="C46" s="95"/>
      <c r="D46" s="95"/>
      <c r="E46" s="95"/>
      <c r="F46" s="96"/>
      <c r="G46" s="1"/>
      <c r="H46" s="1"/>
      <c r="I46" s="1"/>
      <c r="J46" s="8"/>
      <c r="K46" s="95"/>
      <c r="L46" s="95"/>
      <c r="M46" s="95"/>
      <c r="N46" s="95"/>
      <c r="O46" s="96"/>
    </row>
    <row r="47" spans="1:15" x14ac:dyDescent="0.25">
      <c r="A47" s="15"/>
      <c r="B47" s="1"/>
      <c r="C47" s="1"/>
      <c r="D47" s="1"/>
      <c r="E47" s="1"/>
      <c r="F47" s="8"/>
      <c r="G47" s="1"/>
      <c r="H47" s="1"/>
      <c r="I47" s="1"/>
      <c r="J47" s="8"/>
      <c r="K47" s="95"/>
      <c r="L47" s="95"/>
      <c r="M47" s="95"/>
      <c r="N47" s="95"/>
      <c r="O47" s="96"/>
    </row>
    <row r="48" spans="1:15" x14ac:dyDescent="0.25">
      <c r="A48" s="15"/>
      <c r="B48" s="1"/>
      <c r="C48" s="1"/>
      <c r="D48" s="1"/>
      <c r="E48" s="116">
        <f ca="1">J2</f>
        <v>45980</v>
      </c>
      <c r="F48" s="115"/>
      <c r="G48" s="1"/>
      <c r="H48" s="1"/>
      <c r="I48" s="1"/>
      <c r="J48" s="8"/>
      <c r="K48" s="1"/>
      <c r="L48" s="1"/>
      <c r="M48" s="1"/>
      <c r="N48" s="114"/>
      <c r="O48" s="115"/>
    </row>
    <row r="49" spans="1:15" x14ac:dyDescent="0.25">
      <c r="A49" s="113" t="s">
        <v>45</v>
      </c>
      <c r="B49" s="111"/>
      <c r="C49" s="111"/>
      <c r="D49" s="2"/>
      <c r="E49" s="29" t="s">
        <v>53</v>
      </c>
      <c r="F49" s="4"/>
      <c r="G49" s="2"/>
      <c r="H49" s="2"/>
      <c r="I49" s="2"/>
      <c r="J49" s="3"/>
      <c r="K49" s="111" t="s">
        <v>54</v>
      </c>
      <c r="L49" s="111"/>
      <c r="M49" s="2"/>
      <c r="N49" s="111" t="s">
        <v>55</v>
      </c>
      <c r="O49" s="112"/>
    </row>
  </sheetData>
  <mergeCells count="46">
    <mergeCell ref="F8:G8"/>
    <mergeCell ref="I8:J8"/>
    <mergeCell ref="K8:L8"/>
    <mergeCell ref="A1:E1"/>
    <mergeCell ref="A2:E2"/>
    <mergeCell ref="J2:K2"/>
    <mergeCell ref="I3:J3"/>
    <mergeCell ref="K3:O3"/>
    <mergeCell ref="A4:F6"/>
    <mergeCell ref="I6:J6"/>
    <mergeCell ref="K6:L6"/>
    <mergeCell ref="B7:C7"/>
    <mergeCell ref="I7:J7"/>
    <mergeCell ref="K7:L7"/>
    <mergeCell ref="N19:O19"/>
    <mergeCell ref="A9:F11"/>
    <mergeCell ref="B12:C12"/>
    <mergeCell ref="A13:H13"/>
    <mergeCell ref="I13:J13"/>
    <mergeCell ref="G25:M25"/>
    <mergeCell ref="A15:G15"/>
    <mergeCell ref="A19:B19"/>
    <mergeCell ref="C19:D19"/>
    <mergeCell ref="E19:F19"/>
    <mergeCell ref="G19:M19"/>
    <mergeCell ref="G20:M20"/>
    <mergeCell ref="G21:M21"/>
    <mergeCell ref="G22:M22"/>
    <mergeCell ref="G23:M23"/>
    <mergeCell ref="G24:M24"/>
    <mergeCell ref="G26:M26"/>
    <mergeCell ref="G27:M27"/>
    <mergeCell ref="A28:H30"/>
    <mergeCell ref="I28:O29"/>
    <mergeCell ref="A31:H32"/>
    <mergeCell ref="I32:J32"/>
    <mergeCell ref="A49:C49"/>
    <mergeCell ref="K49:L49"/>
    <mergeCell ref="N49:O49"/>
    <mergeCell ref="A35:O35"/>
    <mergeCell ref="A36:O41"/>
    <mergeCell ref="A42:F46"/>
    <mergeCell ref="G42:H42"/>
    <mergeCell ref="K42:O47"/>
    <mergeCell ref="E48:F48"/>
    <mergeCell ref="N48:O48"/>
  </mergeCells>
  <printOptions horizontalCentered="1"/>
  <pageMargins left="0.11811023622047245" right="0.11811023622047245" top="0.39370078740157483" bottom="0.3937007874015748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7</xdr:col>
                    <xdr:colOff>19050</xdr:colOff>
                    <xdr:row>6</xdr:row>
                    <xdr:rowOff>0</xdr:rowOff>
                  </from>
                  <to>
                    <xdr:col>8</xdr:col>
                    <xdr:colOff>209550</xdr:colOff>
                    <xdr:row>7</xdr:row>
                    <xdr:rowOff>19050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7</xdr:col>
                    <xdr:colOff>0</xdr:colOff>
                    <xdr:row>11</xdr:row>
                    <xdr:rowOff>0</xdr:rowOff>
                  </from>
                  <to>
                    <xdr:col>8</xdr:col>
                    <xdr:colOff>190500</xdr:colOff>
                    <xdr:row>12</xdr:row>
                    <xdr:rowOff>19050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0</xdr:col>
                    <xdr:colOff>19050</xdr:colOff>
                    <xdr:row>13</xdr:row>
                    <xdr:rowOff>0</xdr:rowOff>
                  </from>
                  <to>
                    <xdr:col>2</xdr:col>
                    <xdr:colOff>133350</xdr:colOff>
                    <xdr:row>14</xdr:row>
                    <xdr:rowOff>19050</xdr:rowOff>
                  </to>
                </anchor>
              </controlPr>
            </control>
          </mc:Choice>
        </mc:AlternateContent>
        <mc:AlternateContent xmlns:mc="http://schemas.openxmlformats.org/markup-compatibility/2006">
          <mc:Choice Requires="x14">
            <control shapeId="9220" r:id="rId7" name="Check Box 4">
              <controlPr defaultSize="0" autoFill="0" autoLine="0" autoPict="0">
                <anchor moveWithCells="1">
                  <from>
                    <xdr:col>2</xdr:col>
                    <xdr:colOff>19050</xdr:colOff>
                    <xdr:row>13</xdr:row>
                    <xdr:rowOff>0</xdr:rowOff>
                  </from>
                  <to>
                    <xdr:col>4</xdr:col>
                    <xdr:colOff>190500</xdr:colOff>
                    <xdr:row>14</xdr:row>
                    <xdr:rowOff>19050</xdr:rowOff>
                  </to>
                </anchor>
              </controlPr>
            </control>
          </mc:Choice>
        </mc:AlternateContent>
        <mc:AlternateContent xmlns:mc="http://schemas.openxmlformats.org/markup-compatibility/2006">
          <mc:Choice Requires="x14">
            <control shapeId="9221" r:id="rId8" name="Check Box 5">
              <controlPr defaultSize="0" autoFill="0" autoLine="0" autoPict="0">
                <anchor moveWithCells="1">
                  <from>
                    <xdr:col>4</xdr:col>
                    <xdr:colOff>19050</xdr:colOff>
                    <xdr:row>13</xdr:row>
                    <xdr:rowOff>0</xdr:rowOff>
                  </from>
                  <to>
                    <xdr:col>6</xdr:col>
                    <xdr:colOff>152400</xdr:colOff>
                    <xdr:row>14</xdr:row>
                    <xdr:rowOff>19050</xdr:rowOff>
                  </to>
                </anchor>
              </controlPr>
            </control>
          </mc:Choice>
        </mc:AlternateContent>
        <mc:AlternateContent xmlns:mc="http://schemas.openxmlformats.org/markup-compatibility/2006">
          <mc:Choice Requires="x14">
            <control shapeId="9222" r:id="rId9" name="Check Box 6">
              <controlPr defaultSize="0" autoFill="0" autoLine="0" autoPict="0">
                <anchor moveWithCells="1">
                  <from>
                    <xdr:col>12</xdr:col>
                    <xdr:colOff>409575</xdr:colOff>
                    <xdr:row>11</xdr:row>
                    <xdr:rowOff>180975</xdr:rowOff>
                  </from>
                  <to>
                    <xdr:col>14</xdr:col>
                    <xdr:colOff>285750</xdr:colOff>
                    <xdr:row>13</xdr:row>
                    <xdr:rowOff>9525</xdr:rowOff>
                  </to>
                </anchor>
              </controlPr>
            </control>
          </mc:Choice>
        </mc:AlternateContent>
        <mc:AlternateContent xmlns:mc="http://schemas.openxmlformats.org/markup-compatibility/2006">
          <mc:Choice Requires="x14">
            <control shapeId="9223" r:id="rId10" name="Check Box 7">
              <controlPr defaultSize="0" autoFill="0" autoLine="0" autoPict="0">
                <anchor moveWithCells="1">
                  <from>
                    <xdr:col>7</xdr:col>
                    <xdr:colOff>590550</xdr:colOff>
                    <xdr:row>42</xdr:row>
                    <xdr:rowOff>0</xdr:rowOff>
                  </from>
                  <to>
                    <xdr:col>9</xdr:col>
                    <xdr:colOff>171450</xdr:colOff>
                    <xdr:row>43</xdr:row>
                    <xdr:rowOff>19050</xdr:rowOff>
                  </to>
                </anchor>
              </controlPr>
            </control>
          </mc:Choice>
        </mc:AlternateContent>
        <mc:AlternateContent xmlns:mc="http://schemas.openxmlformats.org/markup-compatibility/2006">
          <mc:Choice Requires="x14">
            <control shapeId="9224" r:id="rId11" name="Check Box 8">
              <controlPr defaultSize="0" autoFill="0" autoLine="0" autoPict="0">
                <anchor moveWithCells="1">
                  <from>
                    <xdr:col>7</xdr:col>
                    <xdr:colOff>590550</xdr:colOff>
                    <xdr:row>43</xdr:row>
                    <xdr:rowOff>9525</xdr:rowOff>
                  </from>
                  <to>
                    <xdr:col>9</xdr:col>
                    <xdr:colOff>438150</xdr:colOff>
                    <xdr:row>45</xdr:row>
                    <xdr:rowOff>0</xdr:rowOff>
                  </to>
                </anchor>
              </controlPr>
            </control>
          </mc:Choice>
        </mc:AlternateContent>
        <mc:AlternateContent xmlns:mc="http://schemas.openxmlformats.org/markup-compatibility/2006">
          <mc:Choice Requires="x14">
            <control shapeId="9225" r:id="rId12" name="Check Box 9">
              <controlPr defaultSize="0" autoFill="0" autoLine="0" autoPict="0">
                <anchor moveWithCells="1">
                  <from>
                    <xdr:col>7</xdr:col>
                    <xdr:colOff>590550</xdr:colOff>
                    <xdr:row>45</xdr:row>
                    <xdr:rowOff>0</xdr:rowOff>
                  </from>
                  <to>
                    <xdr:col>9</xdr:col>
                    <xdr:colOff>485775</xdr:colOff>
                    <xdr:row>46</xdr:row>
                    <xdr:rowOff>19050</xdr:rowOff>
                  </to>
                </anchor>
              </controlPr>
            </control>
          </mc:Choice>
        </mc:AlternateContent>
        <mc:AlternateContent xmlns:mc="http://schemas.openxmlformats.org/markup-compatibility/2006">
          <mc:Choice Requires="x14">
            <control shapeId="9226" r:id="rId13" name="Check Box 10">
              <controlPr defaultSize="0" autoFill="0" autoLine="0" autoPict="0">
                <anchor moveWithCells="1">
                  <from>
                    <xdr:col>6</xdr:col>
                    <xdr:colOff>19050</xdr:colOff>
                    <xdr:row>41</xdr:row>
                    <xdr:rowOff>171450</xdr:rowOff>
                  </from>
                  <to>
                    <xdr:col>7</xdr:col>
                    <xdr:colOff>209550</xdr:colOff>
                    <xdr:row>43</xdr:row>
                    <xdr:rowOff>0</xdr:rowOff>
                  </to>
                </anchor>
              </controlPr>
            </control>
          </mc:Choice>
        </mc:AlternateContent>
        <mc:AlternateContent xmlns:mc="http://schemas.openxmlformats.org/markup-compatibility/2006">
          <mc:Choice Requires="x14">
            <control shapeId="9227" r:id="rId14" name="Check Box 11">
              <controlPr defaultSize="0" autoFill="0" autoLine="0" autoPict="0">
                <anchor moveWithCells="1">
                  <from>
                    <xdr:col>6</xdr:col>
                    <xdr:colOff>19050</xdr:colOff>
                    <xdr:row>42</xdr:row>
                    <xdr:rowOff>180975</xdr:rowOff>
                  </from>
                  <to>
                    <xdr:col>7</xdr:col>
                    <xdr:colOff>209550</xdr:colOff>
                    <xdr:row>44</xdr:row>
                    <xdr:rowOff>9525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A465-E6C6-4A9B-B560-1E7E7FC55AD3}">
  <sheetPr>
    <pageSetUpPr fitToPage="1"/>
  </sheetPr>
  <dimension ref="A1:F39"/>
  <sheetViews>
    <sheetView zoomScaleNormal="100" workbookViewId="0">
      <selection activeCell="D21" sqref="D21:E21"/>
    </sheetView>
  </sheetViews>
  <sheetFormatPr defaultColWidth="8.7109375" defaultRowHeight="15" x14ac:dyDescent="0.25"/>
  <cols>
    <col min="1" max="1" width="10.85546875" style="42" customWidth="1"/>
    <col min="2" max="2" width="23.42578125" customWidth="1"/>
    <col min="3" max="3" width="14.7109375" customWidth="1"/>
    <col min="4" max="4" width="10.7109375" customWidth="1"/>
    <col min="5" max="5" width="22.5703125" customWidth="1"/>
    <col min="6" max="6" width="10.7109375" customWidth="1"/>
  </cols>
  <sheetData>
    <row r="1" spans="1:6" ht="15.75" thickBot="1" x14ac:dyDescent="0.3">
      <c r="C1" s="143" t="s">
        <v>56</v>
      </c>
      <c r="D1" s="144"/>
      <c r="E1" s="149">
        <f ca="1">TODAY()</f>
        <v>45980</v>
      </c>
      <c r="F1" s="146"/>
    </row>
    <row r="2" spans="1:6" ht="15.75" thickBot="1" x14ac:dyDescent="0.3">
      <c r="C2" s="143" t="s">
        <v>57</v>
      </c>
      <c r="D2" s="144"/>
      <c r="E2" s="145">
        <v>6.25E-2</v>
      </c>
      <c r="F2" s="146"/>
    </row>
    <row r="3" spans="1:6" ht="15.75" thickBot="1" x14ac:dyDescent="0.3">
      <c r="C3" s="143" t="s">
        <v>59</v>
      </c>
      <c r="D3" s="144"/>
      <c r="E3" s="147">
        <v>53252</v>
      </c>
      <c r="F3" s="148"/>
    </row>
    <row r="4" spans="1:6" x14ac:dyDescent="0.25">
      <c r="C4" s="143" t="s">
        <v>60</v>
      </c>
      <c r="D4" s="144"/>
      <c r="E4" s="147">
        <f>E3</f>
        <v>53252</v>
      </c>
      <c r="F4" s="148"/>
    </row>
    <row r="5" spans="1:6" ht="19.5" thickBot="1" x14ac:dyDescent="0.35">
      <c r="A5" s="155" t="s">
        <v>61</v>
      </c>
      <c r="B5" s="155"/>
      <c r="C5" s="155"/>
      <c r="D5" s="155"/>
      <c r="E5" s="155"/>
      <c r="F5" s="155"/>
    </row>
    <row r="6" spans="1:6" ht="15.95" customHeight="1" thickBot="1" x14ac:dyDescent="0.3">
      <c r="A6" s="51">
        <v>1</v>
      </c>
      <c r="B6" s="132" t="s">
        <v>62</v>
      </c>
      <c r="C6" s="133"/>
      <c r="D6" s="133"/>
      <c r="E6" s="134"/>
      <c r="F6" s="48" t="s">
        <v>63</v>
      </c>
    </row>
    <row r="7" spans="1:6" ht="15.75" thickBot="1" x14ac:dyDescent="0.3">
      <c r="A7" s="50">
        <v>2</v>
      </c>
      <c r="B7" s="132" t="s">
        <v>64</v>
      </c>
      <c r="C7" s="133"/>
      <c r="D7" s="133"/>
      <c r="E7" s="134"/>
      <c r="F7" s="48" t="s">
        <v>63</v>
      </c>
    </row>
    <row r="8" spans="1:6" ht="15.95" customHeight="1" thickBot="1" x14ac:dyDescent="0.3">
      <c r="A8" s="50">
        <v>3</v>
      </c>
      <c r="B8" s="132" t="s">
        <v>88</v>
      </c>
      <c r="C8" s="133"/>
      <c r="D8" s="133"/>
      <c r="E8" s="134"/>
      <c r="F8" s="48" t="s">
        <v>63</v>
      </c>
    </row>
    <row r="9" spans="1:6" ht="15.75" thickBot="1" x14ac:dyDescent="0.3">
      <c r="A9" s="50">
        <v>4</v>
      </c>
      <c r="B9" s="132" t="s">
        <v>65</v>
      </c>
      <c r="C9" s="133"/>
      <c r="D9" s="133"/>
      <c r="E9" s="134"/>
      <c r="F9" s="48" t="s">
        <v>63</v>
      </c>
    </row>
    <row r="10" spans="1:6" ht="15" customHeight="1" thickBot="1" x14ac:dyDescent="0.3">
      <c r="A10" s="50">
        <v>5</v>
      </c>
      <c r="B10" s="132" t="s">
        <v>66</v>
      </c>
      <c r="C10" s="133"/>
      <c r="D10" s="133"/>
      <c r="E10" s="134"/>
      <c r="F10" s="48" t="s">
        <v>63</v>
      </c>
    </row>
    <row r="11" spans="1:6" ht="18.95" customHeight="1" thickBot="1" x14ac:dyDescent="0.3">
      <c r="A11" s="50">
        <v>6</v>
      </c>
      <c r="B11" s="132" t="s">
        <v>67</v>
      </c>
      <c r="C11" s="133"/>
      <c r="D11" s="133"/>
      <c r="E11" s="134"/>
      <c r="F11" s="48" t="s">
        <v>63</v>
      </c>
    </row>
    <row r="12" spans="1:6" ht="15.75" thickBot="1" x14ac:dyDescent="0.3">
      <c r="A12" s="49">
        <v>7</v>
      </c>
      <c r="B12" s="132" t="s">
        <v>68</v>
      </c>
      <c r="C12" s="133"/>
      <c r="D12" s="133"/>
      <c r="E12" s="134"/>
      <c r="F12" s="48" t="s">
        <v>63</v>
      </c>
    </row>
    <row r="13" spans="1:6" ht="18.95" customHeight="1" x14ac:dyDescent="0.25">
      <c r="A13" s="139"/>
      <c r="B13" s="140"/>
      <c r="C13" s="140"/>
      <c r="D13" s="140"/>
      <c r="E13" s="140"/>
      <c r="F13" s="141"/>
    </row>
    <row r="14" spans="1:6" ht="15.75" x14ac:dyDescent="0.25">
      <c r="A14" s="46" t="s">
        <v>69</v>
      </c>
      <c r="B14" s="47" t="s">
        <v>70</v>
      </c>
      <c r="C14" s="47" t="s">
        <v>71</v>
      </c>
      <c r="D14" s="142" t="s">
        <v>72</v>
      </c>
      <c r="E14" s="142"/>
      <c r="F14" s="47" t="s">
        <v>73</v>
      </c>
    </row>
    <row r="15" spans="1:6" ht="18.95" customHeight="1" x14ac:dyDescent="0.25">
      <c r="A15" s="46"/>
      <c r="B15" s="46" t="s">
        <v>89</v>
      </c>
      <c r="C15" s="45" t="s">
        <v>75</v>
      </c>
      <c r="D15" s="137"/>
      <c r="E15" s="138"/>
      <c r="F15" s="45" t="s">
        <v>76</v>
      </c>
    </row>
    <row r="16" spans="1:6" ht="18.95" customHeight="1" x14ac:dyDescent="0.25">
      <c r="A16" s="46">
        <f>E4</f>
        <v>53252</v>
      </c>
      <c r="B16" s="45" t="s">
        <v>74</v>
      </c>
      <c r="C16" s="45" t="s">
        <v>75</v>
      </c>
      <c r="D16" s="137"/>
      <c r="E16" s="138"/>
      <c r="F16" s="45" t="s">
        <v>76</v>
      </c>
    </row>
    <row r="17" spans="1:6" ht="18.95" customHeight="1" x14ac:dyDescent="0.3">
      <c r="A17" s="44"/>
      <c r="B17" s="43"/>
      <c r="C17" s="43"/>
      <c r="D17" s="131"/>
      <c r="E17" s="131"/>
      <c r="F17" s="43"/>
    </row>
    <row r="18" spans="1:6" ht="18.95" customHeight="1" x14ac:dyDescent="0.3">
      <c r="A18" s="44"/>
      <c r="B18" s="43"/>
      <c r="C18" s="43"/>
      <c r="D18" s="131"/>
      <c r="E18" s="131"/>
      <c r="F18" s="43"/>
    </row>
    <row r="19" spans="1:6" ht="18.95" customHeight="1" x14ac:dyDescent="0.3">
      <c r="A19" s="44"/>
      <c r="B19" s="43"/>
      <c r="C19" s="43"/>
      <c r="D19" s="131"/>
      <c r="E19" s="131"/>
      <c r="F19" s="43"/>
    </row>
    <row r="20" spans="1:6" ht="18.95" customHeight="1" x14ac:dyDescent="0.3">
      <c r="A20" s="44"/>
      <c r="B20" s="43"/>
      <c r="C20" s="43"/>
      <c r="D20" s="131"/>
      <c r="E20" s="131"/>
      <c r="F20" s="43"/>
    </row>
    <row r="21" spans="1:6" ht="18.95" customHeight="1" x14ac:dyDescent="0.3">
      <c r="A21" s="44"/>
      <c r="B21" s="43"/>
      <c r="C21" s="43"/>
      <c r="D21" s="131"/>
      <c r="E21" s="131"/>
      <c r="F21" s="43"/>
    </row>
    <row r="22" spans="1:6" ht="18.600000000000001" customHeight="1" x14ac:dyDescent="0.3">
      <c r="A22" s="44"/>
      <c r="B22" s="43"/>
      <c r="C22" s="43"/>
      <c r="D22" s="131"/>
      <c r="E22" s="131"/>
      <c r="F22" s="43"/>
    </row>
    <row r="23" spans="1:6" ht="18.95" customHeight="1" x14ac:dyDescent="0.3">
      <c r="A23" s="44"/>
      <c r="B23" s="43"/>
      <c r="C23" s="43"/>
      <c r="D23" s="131"/>
      <c r="E23" s="131"/>
      <c r="F23" s="43"/>
    </row>
    <row r="24" spans="1:6" ht="18.95" customHeight="1" x14ac:dyDescent="0.3">
      <c r="A24" s="44"/>
      <c r="B24" s="43"/>
      <c r="C24" s="43"/>
      <c r="D24" s="131"/>
      <c r="E24" s="131"/>
      <c r="F24" s="43"/>
    </row>
    <row r="25" spans="1:6" ht="18.95" customHeight="1" x14ac:dyDescent="0.3">
      <c r="A25" s="44"/>
      <c r="B25" s="43"/>
      <c r="C25" s="43"/>
      <c r="D25" s="131"/>
      <c r="E25" s="131"/>
      <c r="F25" s="43"/>
    </row>
    <row r="26" spans="1:6" ht="18.95" customHeight="1" x14ac:dyDescent="0.3">
      <c r="A26" s="44"/>
      <c r="B26" s="43"/>
      <c r="C26" s="43"/>
      <c r="D26" s="131"/>
      <c r="E26" s="131"/>
      <c r="F26" s="43"/>
    </row>
    <row r="27" spans="1:6" ht="18.95" customHeight="1" x14ac:dyDescent="0.3">
      <c r="A27" s="44"/>
      <c r="B27" s="43"/>
      <c r="C27" s="43"/>
      <c r="D27" s="131"/>
      <c r="E27" s="131"/>
      <c r="F27" s="43"/>
    </row>
    <row r="28" spans="1:6" ht="18.95" customHeight="1" x14ac:dyDescent="0.3">
      <c r="A28" s="44"/>
      <c r="B28" s="43"/>
      <c r="C28" s="43"/>
      <c r="D28" s="131"/>
      <c r="E28" s="131"/>
      <c r="F28" s="43"/>
    </row>
    <row r="29" spans="1:6" ht="18.95" customHeight="1" x14ac:dyDescent="0.3">
      <c r="A29" s="44"/>
      <c r="B29" s="43"/>
      <c r="C29" s="43"/>
      <c r="D29" s="131"/>
      <c r="E29" s="131"/>
      <c r="F29" s="43"/>
    </row>
    <row r="30" spans="1:6" ht="18.95" customHeight="1" x14ac:dyDescent="0.3">
      <c r="A30" s="44"/>
      <c r="B30" s="43"/>
      <c r="C30" s="43"/>
      <c r="D30" s="131"/>
      <c r="E30" s="131"/>
      <c r="F30" s="43"/>
    </row>
    <row r="31" spans="1:6" ht="18.95" customHeight="1" x14ac:dyDescent="0.3">
      <c r="A31" s="44"/>
      <c r="B31" s="43"/>
      <c r="C31" s="43"/>
      <c r="D31" s="131"/>
      <c r="E31" s="131"/>
      <c r="F31" s="43"/>
    </row>
    <row r="32" spans="1:6" ht="18.95" customHeight="1" x14ac:dyDescent="0.3">
      <c r="A32" s="44"/>
      <c r="B32" s="43"/>
      <c r="C32" s="43"/>
      <c r="D32" s="131"/>
      <c r="E32" s="131"/>
      <c r="F32" s="43"/>
    </row>
    <row r="33" spans="1:6" ht="18.95" customHeight="1" x14ac:dyDescent="0.25">
      <c r="A33" s="136" t="s">
        <v>77</v>
      </c>
      <c r="B33" s="136"/>
      <c r="C33" s="136"/>
      <c r="D33" s="136"/>
      <c r="E33" s="136"/>
      <c r="F33" s="136"/>
    </row>
    <row r="34" spans="1:6" ht="18.95" customHeight="1" x14ac:dyDescent="0.25">
      <c r="A34" s="150" t="s">
        <v>78</v>
      </c>
      <c r="B34" s="151"/>
      <c r="C34" s="152" t="s">
        <v>79</v>
      </c>
      <c r="D34" s="153"/>
      <c r="E34" s="153"/>
      <c r="F34" s="154"/>
    </row>
    <row r="35" spans="1:6" ht="18.95" customHeight="1" x14ac:dyDescent="0.25">
      <c r="A35" s="135" t="s">
        <v>90</v>
      </c>
      <c r="B35" s="135"/>
      <c r="C35" s="135"/>
      <c r="D35" s="135"/>
      <c r="E35" s="135"/>
      <c r="F35" s="135"/>
    </row>
    <row r="36" spans="1:6" ht="18.95" customHeight="1" x14ac:dyDescent="0.25">
      <c r="A36" s="135"/>
      <c r="B36" s="135"/>
      <c r="C36" s="135"/>
      <c r="D36" s="135"/>
      <c r="E36" s="135"/>
      <c r="F36" s="135"/>
    </row>
    <row r="37" spans="1:6" ht="14.45" customHeight="1" x14ac:dyDescent="0.25">
      <c r="A37" s="135"/>
      <c r="B37" s="135"/>
      <c r="C37" s="135"/>
      <c r="D37" s="135"/>
      <c r="E37" s="135"/>
      <c r="F37" s="135"/>
    </row>
    <row r="38" spans="1:6" ht="14.45" customHeight="1" x14ac:dyDescent="0.25">
      <c r="A38" s="135"/>
      <c r="B38" s="135"/>
      <c r="C38" s="135"/>
      <c r="D38" s="135"/>
      <c r="E38" s="135"/>
      <c r="F38" s="135"/>
    </row>
    <row r="39" spans="1:6" x14ac:dyDescent="0.25">
      <c r="A39" s="135"/>
      <c r="B39" s="135"/>
      <c r="C39" s="135"/>
      <c r="D39" s="135"/>
      <c r="E39" s="135"/>
      <c r="F39" s="135"/>
    </row>
  </sheetData>
  <mergeCells count="40">
    <mergeCell ref="D18:E18"/>
    <mergeCell ref="D28:E28"/>
    <mergeCell ref="D19:E19"/>
    <mergeCell ref="D20:E20"/>
    <mergeCell ref="B7:E7"/>
    <mergeCell ref="B8:E8"/>
    <mergeCell ref="D16:E16"/>
    <mergeCell ref="D15:E15"/>
    <mergeCell ref="D17:E17"/>
    <mergeCell ref="A35:F39"/>
    <mergeCell ref="D21:E21"/>
    <mergeCell ref="D22:E22"/>
    <mergeCell ref="D23:E23"/>
    <mergeCell ref="D24:E24"/>
    <mergeCell ref="A34:B34"/>
    <mergeCell ref="C34:F34"/>
    <mergeCell ref="A33:F33"/>
    <mergeCell ref="D31:E31"/>
    <mergeCell ref="D32:E32"/>
    <mergeCell ref="D26:E26"/>
    <mergeCell ref="D27:E27"/>
    <mergeCell ref="D29:E29"/>
    <mergeCell ref="D30:E30"/>
    <mergeCell ref="D25:E25"/>
    <mergeCell ref="C1:D1"/>
    <mergeCell ref="E1:F1"/>
    <mergeCell ref="A13:F13"/>
    <mergeCell ref="D14:E14"/>
    <mergeCell ref="A5:F5"/>
    <mergeCell ref="B9:E9"/>
    <mergeCell ref="B10:E10"/>
    <mergeCell ref="B11:E11"/>
    <mergeCell ref="B12:E12"/>
    <mergeCell ref="C2:D2"/>
    <mergeCell ref="E2:F2"/>
    <mergeCell ref="C3:D3"/>
    <mergeCell ref="E3:F3"/>
    <mergeCell ref="C4:D4"/>
    <mergeCell ref="E4:F4"/>
    <mergeCell ref="B6:E6"/>
  </mergeCells>
  <phoneticPr fontId="13" type="noConversion"/>
  <conditionalFormatting sqref="A15:A16">
    <cfRule type="duplicateValues" dxfId="1" priority="1"/>
    <cfRule type="duplicateValues" dxfId="0" priority="2"/>
  </conditionalFormatting>
  <pageMargins left="0.7" right="0.7" top="0.75" bottom="0.75" header="0.3" footer="0.3"/>
  <pageSetup scale="97" fitToHeight="0" orientation="portrait" r:id="rId1"/>
  <headerFooter>
    <oddHeader>&amp;C&amp;"-,Bold Italic"&amp;20&amp;UVoilà Van Pre-Load Form</oddHeader>
    <oddFooter>&amp;L&amp;8Document No: CFC233.02 – Voilà Van Pre-Load Form
Revision Date: March 9, 2022
Issue Date: September 30, 2020&amp;R&amp;8Page 1 of 1
Revision Level: 2
Supercedes:CFC233.01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Ottawa Spoke</vt:lpstr>
      <vt:lpstr>Ottawa Trailer Load Form</vt:lpstr>
      <vt:lpstr>Etobecoke Door 25 53192</vt:lpstr>
      <vt:lpstr>53192 Load Form </vt:lpstr>
      <vt:lpstr>Etobicoke Door 26 53251</vt:lpstr>
      <vt:lpstr>53251 Load Form</vt:lpstr>
      <vt:lpstr>Etobicoke Door 27 53252</vt:lpstr>
      <vt:lpstr>53252 Load Form</vt:lpstr>
      <vt:lpstr>'Etobecoke Door 25 53192'!Print_Area</vt:lpstr>
      <vt:lpstr>'Etobicoke Door 26 53251'!Print_Area</vt:lpstr>
      <vt:lpstr>'Etobicoke Door 27 53252'!Print_Area</vt:lpstr>
      <vt:lpstr>'Ottawa Spoke'!Print_Area</vt:lpstr>
    </vt:vector>
  </TitlesOfParts>
  <Manager/>
  <Company>Sobeys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Chiang, Andrew</dc:creator>
  <cp:keywords/>
  <dc:description/>
  <cp:lastModifiedBy>Sangha, Ajaipal</cp:lastModifiedBy>
  <cp:revision/>
  <cp:lastPrinted>2025-11-20T04:35:48Z</cp:lastPrinted>
  <dcterms:created xsi:type="dcterms:W3CDTF">2020-12-16T20:57:01Z</dcterms:created>
  <dcterms:modified xsi:type="dcterms:W3CDTF">2025-11-20T05:02:34Z</dcterms:modified>
  <cp:category/>
  <cp:contentStatus/>
</cp:coreProperties>
</file>